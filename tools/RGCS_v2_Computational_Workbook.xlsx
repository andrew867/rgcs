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a960a12bf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416d2fb809e4757"/>
    <x:sheet xmlns:r="http://schemas.openxmlformats.org/officeDocument/2006/relationships" name="Design Inputs" sheetId="2" r:id="Rcb7e42fcd1ef486b"/>
    <x:sheet xmlns:r="http://schemas.openxmlformats.org/officeDocument/2006/relationships" name="Crystal Geometry" sheetId="3" r:id="Ra843b90a3136403a"/>
    <x:sheet xmlns:r="http://schemas.openxmlformats.org/officeDocument/2006/relationships" name="4096 Ladder" sheetId="4" r:id="Rd16c5c7e0bfa4281"/>
    <x:sheet xmlns:r="http://schemas.openxmlformats.org/officeDocument/2006/relationships" name="Compact Spectrum" sheetId="5" r:id="R1a91b43f1db34357"/>
    <x:sheet xmlns:r="http://schemas.openxmlformats.org/officeDocument/2006/relationships" name="Resonance Offset" sheetId="6" r:id="R2a8e343752ab45ca"/>
    <x:sheet xmlns:r="http://schemas.openxmlformats.org/officeDocument/2006/relationships" name="Coupled Modes" sheetId="7" r:id="R60a23a114c874f6c"/>
    <x:sheet xmlns:r="http://schemas.openxmlformats.org/officeDocument/2006/relationships" name="Spiral 4D" sheetId="8" r:id="R312db7b0c82d437a"/>
    <x:sheet xmlns:r="http://schemas.openxmlformats.org/officeDocument/2006/relationships" name="Loading Calibration" sheetId="9" r:id="R50d5a48585b14ccb"/>
    <x:sheet xmlns:r="http://schemas.openxmlformats.org/officeDocument/2006/relationships" name="Drive Systems" sheetId="10" r:id="R36bd097d14ff4670"/>
    <x:sheet xmlns:r="http://schemas.openxmlformats.org/officeDocument/2006/relationships" name="Coupling Merit" sheetId="11" r:id="Ref27e91d92324b25"/>
    <x:sheet xmlns:r="http://schemas.openxmlformats.org/officeDocument/2006/relationships" name="Experiment Planner" sheetId="12" r:id="Rc332904a37734c5e"/>
    <x:sheet xmlns:r="http://schemas.openxmlformats.org/officeDocument/2006/relationships" name="Paper Mapping" sheetId="13" r:id="Rd25f06dbfba2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4"/>
      </x:patternFill>
    </x:fill>
    <x:fill>
      <x:patternFill patternType="solid">
        <x:fgColor rgb="FF2F6690"/>
      </x:patternFill>
    </x:fill>
    <x:fill>
      <x:patternFill patternType="solid">
        <x:fgColor rgb="FF2A7F78"/>
      </x:patternFill>
    </x:fill>
    <x:fill>
      <x:patternFill patternType="solid">
        <x:fgColor rgb="FFEEF6FF"/>
      </x:patternFill>
    </x:fill>
    <x:fill>
      <x:patternFill patternType="solid">
        <x:fgColor rgb="FFF5E8C8"/>
      </x:patternFill>
    </x:fill>
    <x:fill>
      <x:patternFill patternType="solid">
        <x:fgColor rgb="FFDDEFE5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0" fontId="4" fillId="8" borderId="0" xfId="0" applyNumberFormat="1" applyFont="1" applyFill="1" applyBorder="1"/>
    <x:xf numFmtId="200" fontId="4" fillId="8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31761c76f42d4" /><Relationship Type="http://schemas.openxmlformats.org/officeDocument/2006/relationships/theme" Target="/xl/theme/theme1.xml" Id="Rc584e5949b9348a1" /><Relationship Type="http://schemas.openxmlformats.org/officeDocument/2006/relationships/sharedStrings" Target="/xl/sharedStrings.xml" Id="R7c2eb8abdcd74308" /><Relationship Type="http://schemas.openxmlformats.org/officeDocument/2006/relationships/worksheet" Target="/xl/worksheets/sheet1.xml" Id="R3416d2fb809e4757" /><Relationship Type="http://schemas.openxmlformats.org/officeDocument/2006/relationships/worksheet" Target="/xl/worksheets/sheet2.xml" Id="Rcb7e42fcd1ef486b" /><Relationship Type="http://schemas.openxmlformats.org/officeDocument/2006/relationships/worksheet" Target="/xl/worksheets/sheet3.xml" Id="Ra843b90a3136403a" /><Relationship Type="http://schemas.openxmlformats.org/officeDocument/2006/relationships/worksheet" Target="/xl/worksheets/sheet4.xml" Id="Rd16c5c7e0bfa4281" /><Relationship Type="http://schemas.openxmlformats.org/officeDocument/2006/relationships/worksheet" Target="/xl/worksheets/sheet5.xml" Id="R1a91b43f1db34357" /><Relationship Type="http://schemas.openxmlformats.org/officeDocument/2006/relationships/worksheet" Target="/xl/worksheets/sheet6.xml" Id="R2a8e343752ab45ca" /><Relationship Type="http://schemas.openxmlformats.org/officeDocument/2006/relationships/worksheet" Target="/xl/worksheets/sheet7.xml" Id="R60a23a114c874f6c" /><Relationship Type="http://schemas.openxmlformats.org/officeDocument/2006/relationships/worksheet" Target="/xl/worksheets/sheet8.xml" Id="R312db7b0c82d437a" /><Relationship Type="http://schemas.openxmlformats.org/officeDocument/2006/relationships/worksheet" Target="/xl/worksheets/sheet9.xml" Id="R50d5a48585b14ccb" /><Relationship Type="http://schemas.openxmlformats.org/officeDocument/2006/relationships/worksheet" Target="/xl/worksheets/sheet10.xml" Id="R36bd097d14ff4670" /><Relationship Type="http://schemas.openxmlformats.org/officeDocument/2006/relationships/worksheet" Target="/xl/worksheets/sheet11.xml" Id="Ref27e91d92324b25" /><Relationship Type="http://schemas.openxmlformats.org/officeDocument/2006/relationships/worksheet" Target="/xl/worksheets/sheet12.xml" Id="Rc332904a37734c5e" /><Relationship Type="http://schemas.openxmlformats.org/officeDocument/2006/relationships/worksheet" Target="/xl/worksheets/sheet13.xml" Id="Rd25f06dbfba248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ec4c40e85640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8f9143ff9144f1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a71ac4f7cc54d6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a8f7bed759a4c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Ideal length versus harmonic index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Target frequency (Hz)</c:v>
          </c:tx>
          <c:cat>
            <c:strRef>
              <c:f>'4096 Ladder'!$A$5:$A$24</c:f>
              <c:strCache>
                <c:ptCount val="0"/>
              </c:strCache>
            </c:strRef>
          </c:cat>
          <c:val>
            <c:numRef>
              <c:f>'4096 Ladder'!$B$5:$B$24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Ideal length (mm)</c:v>
          </c:tx>
          <c:cat>
            <c:strRef>
              <c:f>'4096 Ladder'!$A$5:$A$24</c:f>
              <c:strCache>
                <c:ptCount val="0"/>
              </c:strCache>
            </c:strRef>
          </c:cat>
          <c:val>
            <c:numRef>
              <c:f>'4096 Ladder'!$C$5:$C$24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Compact-coordinate mode spectrum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Parity</c:v>
          </c:tx>
          <c:cat>
            <c:strRef>
              <c:f>'Compact Spectrum'!$A$13:$A$25</c:f>
              <c:strCache>
                <c:ptCount val="0"/>
              </c:strCache>
            </c:strRef>
          </c:cat>
          <c:val>
            <c:numRef>
              <c:f>'Compact Spectrum'!$B$13:$B$25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Included?</c:v>
          </c:tx>
          <c:cat>
            <c:strRef>
              <c:f>'Compact Spectrum'!$A$13:$A$25</c:f>
              <c:strCache>
                <c:ptCount val="0"/>
              </c:strCache>
            </c:strRef>
          </c:cat>
          <c:val>
            <c:numRef>
              <c:f>'Compact Spectrum'!$C$13:$C$25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Compact term (Hz)</c:v>
          </c:tx>
          <c:cat>
            <c:strRef>
              <c:f>'Compact Spectrum'!$A$13:$A$25</c:f>
              <c:strCache>
                <c:ptCount val="0"/>
              </c:strCache>
            </c:strRef>
          </c:cat>
          <c:val>
            <c:numRef>
              <c:f>'Compact Spectrum'!$D$13:$D$25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Mode frequency (Hz)</c:v>
          </c:tx>
          <c:cat>
            <c:strRef>
              <c:f>'Compact Spectrum'!$A$13:$A$25</c:f>
              <c:strCache>
                <c:ptCount val="0"/>
              </c:strCache>
            </c:strRef>
          </c:cat>
          <c:val>
            <c:numRef>
              <c:f>'Compact Spectrum'!$E$13:$E$25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Mode frequency (kHz)</c:v>
          </c:tx>
          <c:cat>
            <c:strRef>
              <c:f>'Compact Spectrum'!$A$13:$A$25</c:f>
              <c:strCache>
                <c:ptCount val="0"/>
              </c:strCache>
            </c:strRef>
          </c:cat>
          <c:val>
            <c:numRef>
              <c:f>'Compact Spectrum'!$F$13:$F$25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Avoided crossing versus coupling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Lower</c:v>
          </c:tx>
          <c:cat>
            <c:strRef>
              <c:f>'Coupled Modes'!$D$26:$D$33</c:f>
              <c:strCache>
                <c:ptCount val="0"/>
              </c:strCache>
            </c:strRef>
          </c:cat>
          <c:val>
            <c:numRef>
              <c:f>'Coupled Modes'!$E$26:$E$33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Upper</c:v>
          </c:tx>
          <c:cat>
            <c:strRef>
              <c:f>'Coupled Modes'!$D$26:$D$33</c:f>
              <c:strCache>
                <c:ptCount val="0"/>
              </c:strCache>
            </c:strRef>
          </c:cat>
          <c:val>
            <c:numRef>
              <c:f>'Coupled Modes'!$F$26:$F$33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Radius and height by turn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Radius (mm)</c:v>
          </c:tx>
          <c:cat>
            <c:strRef>
              <c:f>'Spiral 4D'!$D$28:$D$40</c:f>
              <c:strCache>
                <c:ptCount val="0"/>
              </c:strCache>
            </c:strRef>
          </c:cat>
          <c:val>
            <c:numRef>
              <c:f>'Spiral 4D'!$E$28:$E$40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z (mm)</c:v>
          </c:tx>
          <c:cat>
            <c:strRef>
              <c:f>'Spiral 4D'!$D$28:$D$40</c:f>
              <c:strCache>
                <c:ptCount val="0"/>
              </c:strCache>
            </c:strRef>
          </c:cat>
          <c:val>
            <c:numRef>
              <c:f>'Spiral 4D'!$F$28:$F$40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ec4c40e85640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11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f9143ff9144f1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34</xdr:row>
      <xdr:rowOff>0</xdr:rowOff>
    </xdr:from>
    <xdr:to>
      <xdr:col>11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71ac4f7cc54d6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41</xdr:row>
      <xdr:rowOff>0</xdr:rowOff>
    </xdr:from>
    <xdr:to>
      <xdr:col>11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8f7bed759a4cb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f13160c86a44a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fbd6f7a448c46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a6fecbfc748f40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564aacf2114a4fb3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7" hidden="0" customWidth="1"/>
    <x:col min="3" max="3" width="26" hidden="0" customWidth="1"/>
    <x:col min="4" max="4" width="32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Resonant Geometry Computational System v2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Coupled-mode, compact-coordinate, spiral-phase and experimental calibration workbook.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20" customHeight="1">
      <x:c r="B4" s="13" t="str">
        <x:v>System map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30" customHeight="1">
      <x:c r="B5" s="20" t="str">
        <x:v>Sheet</x:v>
      </x:c>
      <x:c r="C5" s="20" t="str">
        <x:v>Function</x:v>
      </x:c>
      <x:c r="D5" s="20" t="str">
        <x:v>Primary variable</x:v>
      </x:c>
      <x:c r="E5" s="20" t="str">
        <x:v>Key output</x:v>
      </x:c>
    </x:row>
    <x:row r="6" ht="38" customHeight="1">
      <x:c r="B6" s="26" t="str">
        <x:v>Design Inputs</x:v>
      </x:c>
      <x:c r="C6" s="26" t="str">
        <x:v>Single source of editable design parameters</x:v>
      </x:c>
      <x:c r="D6" s="26" t="str">
        <x:v>Geometry, wave speed, compact path, Q, coupling</x:v>
      </x:c>
      <x:c r="E6" s="26" t="str">
        <x:v>Shared system state</x:v>
      </x:c>
    </x:row>
    <x:row r="7" ht="38" customHeight="1">
      <x:c r="B7" s="26" t="str">
        <x:v>Crystal Geometry</x:v>
      </x:c>
      <x:c r="C7" s="26" t="str">
        <x:v>Faceted tapered crystal and 4096 ladder</x:v>
      </x:c>
      <x:c r="D7" s="26" t="str">
        <x:v>L, diameters, facets, angles</x:v>
      </x:c>
      <x:c r="E7" s="26" t="str">
        <x:v>Volume, mass, harmonic error</x:v>
      </x:c>
    </x:row>
    <x:row r="8" ht="38" customHeight="1">
      <x:c r="B8" s="26" t="str">
        <x:v>4096 Ladder</x:v>
      </x:c>
      <x:c r="C8" s="26" t="str">
        <x:v>Axial half-wave design family</x:v>
      </x:c>
      <x:c r="D8" s="26" t="str">
        <x:v>N, f0, wave speed</x:v>
      </x:c>
      <x:c r="E8" s="26" t="str">
        <x:v>Ideal lengths N=1-20</x:v>
      </x:c>
    </x:row>
    <x:row r="9" ht="38" customHeight="1">
      <x:c r="B9" s="26" t="str">
        <x:v>Compact Spectrum</x:v>
      </x:c>
      <x:c r="C9" s="26" t="str">
        <x:v>Paper-inspired compact-coordinate spectrum</x:v>
      </x:c>
      <x:c r="D9" s="26" t="str">
        <x:v>Rchi, vchi, parity, base mode</x:v>
      </x:c>
      <x:c r="E9" s="26" t="str">
        <x:v>Odd/even discrete frequencies</x:v>
      </x:c>
    </x:row>
    <x:row r="10" ht="38" customHeight="1">
      <x:c r="B10" s="26" t="str">
        <x:v>Resonance Offset</x:v>
      </x:c>
      <x:c r="C10" s="26" t="str">
        <x:v>Dimensionless pair-resonance metric</x:v>
      </x:c>
      <x:c r="D10" s="26" t="str">
        <x:v>Mediator-like and matter-like modes</x:v>
      </x:c>
      <x:c r="E10" s="26" t="str">
        <x:v>epsilon_R and detuning class</x:v>
      </x:c>
    </x:row>
    <x:row r="11" ht="38" customHeight="1">
      <x:c r="B11" s="26" t="str">
        <x:v>Coupled Modes</x:v>
      </x:c>
      <x:c r="C11" s="26" t="str">
        <x:v>Two-mode avoided crossing</x:v>
      </x:c>
      <x:c r="D11" s="26" t="str">
        <x:v>fA, fB, g, QA, QB</x:v>
      </x:c>
      <x:c r="E11" s="26" t="str">
        <x:v>Hybrid eigenfrequencies and splitting</x:v>
      </x:c>
    </x:row>
    <x:row r="12" ht="38" customHeight="1">
      <x:c r="B12" s="26" t="str">
        <x:v>Spiral 4D</x:v>
      </x:c>
      <x:c r="C12" s="26" t="str">
        <x:v>Scale-rotation spiral projection metrics</x:v>
      </x:c>
      <x:c r="D12" s="26" t="str">
        <x:v>q, turns, radius, height</x:v>
      </x:c>
      <x:c r="E12" s="26" t="str">
        <x:v>a, pitch, curvature, effective Rchi</x:v>
      </x:c>
    </x:row>
    <x:row r="13" ht="38" customHeight="1">
      <x:c r="B13" s="26" t="str">
        <x:v>Loading Calibration</x:v>
      </x:c>
      <x:c r="C13" s="26" t="str">
        <x:v>Human / fixture correction</x:v>
      </x:c>
      <x:c r="D13" s="26" t="str">
        <x:v>actual and ideal length, mass, eta</x:v>
      </x:c>
      <x:c r="E13" s="26" t="str">
        <x:v>kH and equivalent modal load</x:v>
      </x:c>
    </x:row>
    <x:row r="14" ht="38" customHeight="1">
      <x:c r="B14" s="26" t="str">
        <x:v>Drive Systems</x:v>
      </x:c>
      <x:c r="C14" s="26" t="str">
        <x:v>20/21 Hz, sound-key, 4096 Hz envelopes</x:v>
      </x:c>
      <x:c r="D14" s="26" t="str">
        <x:v>mode and carrier</x:v>
      </x:c>
      <x:c r="E14" s="26" t="str">
        <x:v>periods, exact cycles, duty</x:v>
      </x:c>
    </x:row>
    <x:row r="15" ht="38" customHeight="1">
      <x:c r="B15" s="26" t="str">
        <x:v>Coupling Merit</x:v>
      </x:c>
      <x:c r="C15" s="26" t="str">
        <x:v>Measurement-oriented dimensionless score</x:v>
      </x:c>
      <x:c r="D15" s="26" t="str">
        <x:v>overlap, detuning, phase, node error</x:v>
      </x:c>
      <x:c r="E15" s="26" t="str">
        <x:v>bounded transfer score</x:v>
      </x:c>
    </x:row>
    <x:row r="16" ht="38" customHeight="1">
      <x:c r="B16" s="26" t="str">
        <x:v>Experiment Planner</x:v>
      </x:c>
      <x:c r="C16" s="26" t="str">
        <x:v>Control-first test matrix</x:v>
      </x:c>
      <x:c r="D16" s="26" t="str">
        <x:v>branch, controls, sensors</x:v>
      </x:c>
      <x:c r="E16" s="26" t="str">
        <x:v>replication plan</x:v>
      </x:c>
    </x:row>
    <x:row r="17" ht="38" customHeight="1">
      <x:c r="B17" s="26" t="str">
        <x:v>Paper Mapping</x:v>
      </x:c>
      <x:c r="C17" s="26" t="str">
        <x:v>Lee-Tsai paper to RGCS mathematical mapping</x:v>
      </x:c>
      <x:c r="D17" s="26" t="str">
        <x:v>conceptual architecture</x:v>
      </x:c>
      <x:c r="E17" s="26" t="str">
        <x:v>traceable analogue boundaries</x:v>
      </x:c>
    </x:row>
    <x:row r="19" ht="20" customHeight="1">
      <x:c r="B19" s="13" t="str">
        <x:v>Interpretation</x:v>
      </x:c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B20" s="29" t="str">
        <x:v>RGCS v2 applies the compact-mode and resonance-offset architecture of Lee and Tsai (2026) as a modal engineering analogue. It makes the proposed correspondence explicit and measurable: mode index, parity, detuning, coupling, loading, phase closure, node alignment and control-subtracted observations.</x:v>
      </x:c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</x:row>
    <x:row r="21"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</x:row>
    <x:row r="22"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</x:row>
    <x:row r="23"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</x:row>
    <x:row r="24"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</x:row>
  </x:sheetData>
  <x:mergeCells>
    <x:mergeCell ref="A1:L1"/>
    <x:mergeCell ref="A2:L2"/>
    <x:mergeCell ref="B4:L4"/>
    <x:mergeCell ref="B19:L19"/>
    <x:mergeCell ref="B20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4" hidden="0" customWidth="1"/>
    <x:col min="4" max="4" width="36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Design Inputs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Edit yellow cells. Remaining sheets link to this state.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Crystal and harmonic state</x:v>
      </x:c>
      <x:c r="B4" s="13"/>
      <x:c r="D4" s="13" t="str">
        <x:v>Spiral state</x:v>
      </x:c>
      <x:c r="E4" s="13"/>
    </x:row>
    <x:row r="5">
      <x:c r="A5" t="str">
        <x:v>Base frequency f0 (Hz)</x:v>
      </x:c>
      <x:c r="B5" s="32" t="n">
        <x:v>4096</x:v>
      </x:c>
      <x:c r="D5" t="str">
        <x:v>Growth ratio q per turn</x:v>
      </x:c>
      <x:c r="E5" s="32" t="n">
        <x:v>2.718281828459045</x:v>
      </x:c>
    </x:row>
    <x:row r="6">
      <x:c r="A6" t="str">
        <x:v>Longitudinal wave speed (m/s)</x:v>
      </x:c>
      <x:c r="B6" s="32" t="n">
        <x:v>6310</x:v>
      </x:c>
      <x:c r="D6" t="str">
        <x:v>Turns</x:v>
      </x:c>
      <x:c r="E6" s="32" t="n">
        <x:v>4</x:v>
      </x:c>
    </x:row>
    <x:row r="7">
      <x:c r="A7" t="str">
        <x:v>Crystal length L (mm)</x:v>
      </x:c>
      <x:c r="B7" s="32" t="n">
        <x:v>154.052734375</x:v>
      </x:c>
      <x:c r="D7" t="str">
        <x:v>Outer radius (mm)</x:v>
      </x:c>
      <x:c r="E7" s="32" t="n">
        <x:v>60</x:v>
      </x:c>
    </x:row>
    <x:row r="8">
      <x:c r="A8" t="str">
        <x:v>Wide diameter Dw (mm)</x:v>
      </x:c>
      <x:c r="B8" s="32" t="n">
        <x:v>31.6005608974</x:v>
      </x:c>
      <x:c r="D8" t="str">
        <x:v>Height (mm)</x:v>
      </x:c>
      <x:c r="E8" s="32" t="n">
        <x:v>80</x:v>
      </x:c>
    </x:row>
    <x:row r="9">
      <x:c r="A9" t="str">
        <x:v>Narrow diameter Dn (mm)</x:v>
      </x:c>
      <x:c r="B9" s="32" t="n">
        <x:v>19.7503505609</x:v>
      </x:c>
      <x:c r="D9" t="str">
        <x:v>Cone exponent pz</x:v>
      </x:c>
      <x:c r="E9" s="32" t="n">
        <x:v>1.5</x:v>
      </x:c>
    </x:row>
    <x:row r="10">
      <x:c r="A10" t="str">
        <x:v>Facet count</x:v>
      </x:c>
      <x:c r="B10" s="32" t="n">
        <x:v>6</x:v>
      </x:c>
      <x:c r="D10" t="str">
        <x:v>Phase cycles / theta</x:v>
      </x:c>
      <x:c r="E10" s="32" t="n">
        <x:v>1</x:v>
      </x:c>
    </x:row>
    <x:row r="11">
      <x:c r="A11" t="str">
        <x:v>Receiver angle (deg)</x:v>
      </x:c>
      <x:c r="B11" s="32" t="n">
        <x:v>51.843</x:v>
      </x:c>
    </x:row>
    <x:row r="12" ht="20" customHeight="1">
      <x:c r="A12" t="str">
        <x:v>Sender angle (deg)</x:v>
      </x:c>
      <x:c r="B12" s="32" t="n">
        <x:v>60</x:v>
      </x:c>
      <x:c r="D12" s="13" t="str">
        <x:v>Loading state</x:v>
      </x:c>
      <x:c r="E12" s="13"/>
    </x:row>
    <x:row r="13">
      <x:c r="A13" t="str">
        <x:v>Density (g/cm3)</x:v>
      </x:c>
      <x:c r="B13" s="32" t="n">
        <x:v>2.65</x:v>
      </x:c>
      <x:c r="D13" t="str">
        <x:v>Actual cut length (mm)</x:v>
      </x:c>
      <x:c r="E13" s="32" t="n">
        <x:v>152</x:v>
      </x:c>
    </x:row>
    <x:row r="14">
      <x:c r="A14" t="str">
        <x:v>Measured mass (g, optional)</x:v>
      </x:c>
      <x:c r="B14" s="32" t="n">
        <x:v>154</x:v>
      </x:c>
      <x:c r="D14" t="str">
        <x:v>Unloaded target length (mm)</x:v>
      </x:c>
      <x:c r="E14" s="32" t="n">
        <x:v>154.052734375</x:v>
      </x:c>
    </x:row>
    <x:row r="15">
      <x:c r="D15" t="str">
        <x:v>Crystal mass (g)</x:v>
      </x:c>
      <x:c r="E15" s="32" t="n">
        <x:v>154</x:v>
      </x:c>
    </x:row>
    <x:row r="16" ht="20" customHeight="1">
      <x:c r="A16" s="13" t="str">
        <x:v>Compact coordinate / paper analogue</x:v>
      </x:c>
      <x:c r="B16" s="13"/>
      <x:c r="D16" t="str">
        <x:v>Modal mass fraction eta</x:v>
      </x:c>
      <x:c r="E16" s="32" t="n">
        <x:v>0.5</x:v>
      </x:c>
    </x:row>
    <x:row r="17">
      <x:c r="A17" t="str">
        <x:v>Compact base frequency fb (Hz)</x:v>
      </x:c>
      <x:c r="B17" s="32" t="n">
        <x:v>0</x:v>
      </x:c>
    </x:row>
    <x:row r="18" ht="20" customHeight="1">
      <x:c r="A18" t="str">
        <x:v>Compact propagation speed vchi (m/s)</x:v>
      </x:c>
      <x:c r="B18" s="32" t="n">
        <x:v>6310</x:v>
      </x:c>
      <x:c r="D18" s="13" t="str">
        <x:v>Drive state</x:v>
      </x:c>
      <x:c r="E18" s="13"/>
    </x:row>
    <x:row r="19">
      <x:c r="A19" t="str">
        <x:v>Compact radius Rchi (mm)</x:v>
      </x:c>
      <x:c r="B19" s="32" t="n">
        <x:v>100</x:v>
      </x:c>
      <x:c r="D19" t="str">
        <x:v>Envelope mode</x:v>
      </x:c>
      <x:c r="E19" s="32" t="str">
        <x:v>half_spacing</x:v>
      </x:c>
    </x:row>
    <x:row r="20">
      <x:c r="A20" t="str">
        <x:v>Maximum mode index</x:v>
      </x:c>
      <x:c r="B20" s="32" t="n">
        <x:v>12</x:v>
      </x:c>
      <x:c r="D20" t="str">
        <x:v>Carrier frequency (Hz)</x:v>
      </x:c>
      <x:c r="E20" s="32" t="n">
        <x:v>4096</x:v>
      </x:c>
    </x:row>
    <x:row r="21">
      <x:c r="A21" t="str">
        <x:v>Parity family</x:v>
      </x:c>
      <x:c r="B21" s="32" t="str">
        <x:v>all</x:v>
      </x:c>
      <x:c r="D21" t="str">
        <x:v>Micro-pulse width (us)</x:v>
      </x:c>
      <x:c r="E21" s="32" t="n">
        <x:v>1</x:v>
      </x:c>
    </x:row>
    <x:row r="22">
      <x:c r="A22" t="str">
        <x:v>Pair multiple p</x:v>
      </x:c>
      <x:c r="B22" s="32" t="n">
        <x:v>2</x:v>
      </x:c>
      <x:c r="D22" t="str">
        <x:v>Pulse voltage (V)</x:v>
      </x:c>
      <x:c r="E22" s="32" t="n">
        <x:v>45</x:v>
      </x:c>
    </x:row>
    <x:row r="23">
      <x:c r="A23" t="str">
        <x:v>Mediator-like mode (Hz)</x:v>
      </x:c>
      <x:c r="B23" s="32" t="n">
        <x:v>40960</x:v>
      </x:c>
      <x:c r="D23" t="str">
        <x:v>Peak current (A)</x:v>
      </x:c>
      <x:c r="E23" s="32" t="n">
        <x:v>2</x:v>
      </x:c>
    </x:row>
    <x:row r="24">
      <x:c r="A24" t="str">
        <x:v>Matter-like mode (Hz)</x:v>
      </x:c>
      <x:c r="B24" s="32" t="n">
        <x:v>20480</x:v>
      </x:c>
      <x:c r="D24" t="str">
        <x:v>Rise time (us)</x:v>
      </x:c>
      <x:c r="E24" s="32" t="n">
        <x:v>1</x:v>
      </x:c>
    </x:row>
    <x:row r="25">
      <x:c r="D25" t="str">
        <x:v>Decay time (us)</x:v>
      </x:c>
      <x:c r="E25" s="32" t="n">
        <x:v>30</x:v>
      </x:c>
    </x:row>
    <x:row r="26" ht="20" customHeight="1">
      <x:c r="A26" s="13" t="str">
        <x:v>Coupled-mode and calibration state</x:v>
      </x:c>
      <x:c r="B26" s="13"/>
    </x:row>
    <x:row r="27">
      <x:c r="A27" t="str">
        <x:v>Mode A fA (Hz)</x:v>
      </x:c>
      <x:c r="B27" s="32" t="n">
        <x:v>20480</x:v>
      </x:c>
    </x:row>
    <x:row r="28">
      <x:c r="A28" t="str">
        <x:v>Mode B fB (Hz)</x:v>
      </x:c>
      <x:c r="B28" s="32" t="n">
        <x:v>20460</x:v>
      </x:c>
    </x:row>
    <x:row r="29">
      <x:c r="A29" t="str">
        <x:v>Coupling g (Hz)</x:v>
      </x:c>
      <x:c r="B29" s="32" t="n">
        <x:v>25</x:v>
      </x:c>
    </x:row>
    <x:row r="30">
      <x:c r="A30" t="str">
        <x:v>Q A</x:v>
      </x:c>
      <x:c r="B30" s="32" t="n">
        <x:v>1000</x:v>
      </x:c>
    </x:row>
    <x:row r="31">
      <x:c r="A31" t="str">
        <x:v>Q B</x:v>
      </x:c>
      <x:c r="B31" s="32" t="n">
        <x:v>800</x:v>
      </x:c>
    </x:row>
    <x:row r="32">
      <x:c r="A32" t="str">
        <x:v>Mode overlap Lambda</x:v>
      </x:c>
      <x:c r="B32" s="32" t="n">
        <x:v>0.5</x:v>
      </x:c>
    </x:row>
    <x:row r="33">
      <x:c r="A33" t="str">
        <x:v>Phase residue (cycles)</x:v>
      </x:c>
      <x:c r="B33" s="32" t="n">
        <x:v>0</x:v>
      </x:c>
    </x:row>
    <x:row r="34">
      <x:c r="A34" t="str">
        <x:v>Node offset (sigma)</x:v>
      </x:c>
      <x:c r="B34" s="32" t="n">
        <x:v>0</x:v>
      </x:c>
    </x:row>
  </x:sheetData>
  <x:mergeCells>
    <x:mergeCell ref="A1:J1"/>
    <x:mergeCell ref="A2:J2"/>
    <x:mergeCell ref="A4:B4"/>
    <x:mergeCell ref="A16:B16"/>
    <x:mergeCell ref="A26:B26"/>
    <x:mergeCell ref="D4:E4"/>
    <x:mergeCell ref="D12:E12"/>
    <x:mergeCell ref="D18:E18"/>
  </x:mergeCells>
  <x:dataValidations count="2">
    <x:dataValidation type="list" sqref="B21">
      <x:formula1>"all,odd,even"</x:formula1>
    </x:dataValidation>
    <x:dataValidation type="list" sqref="E19">
      <x:formula1>"standard,half_spacing,double_rate"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4" hidden="0" customWidth="1"/>
    <x:col min="4" max="4" width="34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Crystal Geometry and Harmonic Classification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Exact polygonal frustum plus unequal terminations.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Linked inputs</x:v>
      </x:c>
      <x:c r="B4" s="13"/>
    </x:row>
    <x:row r="5">
      <x:c r="A5" t="str">
        <x:v>Length (mm)</x:v>
      </x:c>
      <x:c r="B5" s="35" t="n">
        <x:f>'Design Inputs'!B7</x:f>
        <x:v>154.052734375</x:v>
      </x:c>
    </x:row>
    <x:row r="6">
      <x:c r="A6" t="str">
        <x:v>Wide diameter (mm)</x:v>
      </x:c>
      <x:c r="B6" s="35" t="n">
        <x:f>'Design Inputs'!B8</x:f>
        <x:v>31.6005608974</x:v>
      </x:c>
    </x:row>
    <x:row r="7">
      <x:c r="A7" t="str">
        <x:v>Narrow diameter (mm)</x:v>
      </x:c>
      <x:c r="B7" s="35" t="n">
        <x:f>'Design Inputs'!B9</x:f>
        <x:v>19.7503505609</x:v>
      </x:c>
    </x:row>
    <x:row r="8">
      <x:c r="A8" t="str">
        <x:v>Facets</x:v>
      </x:c>
      <x:c r="B8" s="35" t="n">
        <x:f>'Design Inputs'!B10</x:f>
        <x:v>6</x:v>
      </x:c>
    </x:row>
    <x:row r="9">
      <x:c r="A9" t="str">
        <x:v>Receiver angle (deg)</x:v>
      </x:c>
      <x:c r="B9" s="35" t="n">
        <x:f>'Design Inputs'!B11</x:f>
        <x:v>51.843</x:v>
      </x:c>
    </x:row>
    <x:row r="10">
      <x:c r="A10" t="str">
        <x:v>Sender angle (deg)</x:v>
      </x:c>
      <x:c r="B10" s="35" t="n">
        <x:f>'Design Inputs'!B12</x:f>
        <x:v>60</x:v>
      </x:c>
    </x:row>
    <x:row r="11">
      <x:c r="A11" t="str">
        <x:v>Density (g/cm3)</x:v>
      </x:c>
      <x:c r="B11" s="35" t="n">
        <x:f>'Design Inputs'!B13</x:f>
        <x:v>2.65</x:v>
      </x:c>
    </x:row>
    <x:row r="12">
      <x:c r="A12" t="str">
        <x:v>Wave speed (m/s)</x:v>
      </x:c>
      <x:c r="B12" s="35" t="n">
        <x:f>'Design Inputs'!B6</x:f>
        <x:v>6310</x:v>
      </x:c>
    </x:row>
    <x:row r="13">
      <x:c r="A13" t="str">
        <x:v>Base frequency (Hz)</x:v>
      </x:c>
      <x:c r="B13" s="35" t="n">
        <x:f>'Design Inputs'!B5</x:f>
        <x:v>4096</x:v>
      </x:c>
    </x:row>
    <x:row r="15" ht="20" customHeight="1">
      <x:c r="A15" s="13" t="str">
        <x:v>Resolved geometry</x:v>
      </x:c>
      <x:c r="B15" s="13"/>
    </x:row>
    <x:row r="16">
      <x:c r="A16" t="str">
        <x:v>Wide apothem (mm)</x:v>
      </x:c>
      <x:c r="B16" s="35" t="n">
        <x:f>B6/2*COS(PI()/B8)</x:f>
        <x:v>13.683444255492791</x:v>
      </x:c>
    </x:row>
    <x:row r="17">
      <x:c r="A17" t="str">
        <x:v>Narrow apothem (mm)</x:v>
      </x:c>
      <x:c r="B17" s="35" t="n">
        <x:f>B7/2*COS(PI()/B8)</x:f>
        <x:v>8.552152659693819</x:v>
      </x:c>
    </x:row>
    <x:row r="18">
      <x:c r="A18" t="str">
        <x:v>Receiver cap height (mm)</x:v>
      </x:c>
      <x:c r="B18" s="35" t="n">
        <x:f>B16*TAN(RADIANS(B9))</x:f>
        <x:v>17.41543445888412</x:v>
      </x:c>
    </x:row>
    <x:row r="19">
      <x:c r="A19" t="str">
        <x:v>Sender cap height (mm)</x:v>
      </x:c>
      <x:c r="B19" s="35" t="n">
        <x:f>B17*TAN(RADIANS(B10))</x:f>
        <x:v>14.812762920674997</x:v>
      </x:c>
    </x:row>
    <x:row r="20">
      <x:c r="A20" t="str">
        <x:v>Body length (mm)</x:v>
      </x:c>
      <x:c r="B20" s="35" t="n">
        <x:f>B5-B18-B19</x:f>
        <x:v>121.82453699544087</x:v>
      </x:c>
    </x:row>
    <x:row r="21">
      <x:c r="A21" t="str">
        <x:v>Wide area (mm2)</x:v>
      </x:c>
      <x:c r="B21" s="35" t="n">
        <x:f>B8/8*B6^2*SIN(2*PI()/B8)</x:f>
        <x:v>648.6067702228171</x:v>
      </x:c>
    </x:row>
    <x:row r="22">
      <x:c r="A22" t="str">
        <x:v>Narrow area (mm2)</x:v>
      </x:c>
      <x:c r="B22" s="35" t="n">
        <x:f>B8/8*B7^2*SIN(2*PI()/B8)</x:f>
        <x:v>253.36201961892934</x:v>
      </x:c>
    </x:row>
    <x:row r="23">
      <x:c r="A23" t="str">
        <x:v>Total volume (cm3)</x:v>
      </x:c>
      <x:c r="B23" s="35" t="n">
        <x:f>((B20/3)*(B21+B22+SQRT(B21*B22))+B21*B18/3+B22*B19/3)/1000</x:f>
        <x:v>58.105275868186126</x:v>
      </x:c>
    </x:row>
    <x:row r="24">
      <x:c r="A24" t="str">
        <x:v>Predicted mass (g)</x:v>
      </x:c>
      <x:c r="B24" s="35" t="n">
        <x:f>B23*B11</x:f>
        <x:v>153.97898105069322</x:v>
      </x:c>
    </x:row>
    <x:row r="25">
      <x:c r="A25" t="str">
        <x:v>L / Davg</x:v>
      </x:c>
      <x:c r="B25" s="35" t="n">
        <x:f>B5/((B6+B7)/2)</x:f>
        <x:v>6.000000000003895</x:v>
      </x:c>
    </x:row>
    <x:row r="26">
      <x:c r="A26" t="str">
        <x:v>Taper ratio</x:v>
      </x:c>
      <x:c r="B26" s="35" t="n">
        <x:f>B6/B7</x:f>
        <x:v>1.5999999999979748</x:v>
      </x:c>
    </x:row>
    <x:row r="27">
      <x:c r="A27" t="str">
        <x:v>Axial half-wave (Hz)</x:v>
      </x:c>
      <x:c r="B27" s="35" t="n">
        <x:f>B12/(2*(B5/1000))</x:f>
        <x:v>20480</x:v>
      </x:c>
    </x:row>
    <x:row r="28">
      <x:c r="A28" t="str">
        <x:v>Nearest harmonic N</x:v>
      </x:c>
      <x:c r="B28" s="35" t="n">
        <x:f>ROUND(B27/B13,0)</x:f>
        <x:v>5</x:v>
      </x:c>
    </x:row>
    <x:row r="29">
      <x:c r="A29" t="str">
        <x:v>Target N f0 (Hz)</x:v>
      </x:c>
      <x:c r="B29" s="35" t="n">
        <x:f>B28*B13</x:f>
        <x:v>20480</x:v>
      </x:c>
    </x:row>
    <x:row r="30">
      <x:c r="A30" t="str">
        <x:v>Frequency error (%)</x:v>
      </x:c>
      <x:c r="B30" s="38" t="n">
        <x:f>B27/B29-1</x:f>
        <x:v>0</x:v>
      </x:c>
    </x:row>
    <x:row r="31">
      <x:c r="A31" t="str">
        <x:v>Ideal length for N (mm)</x:v>
      </x:c>
      <x:c r="B31" s="35" t="n">
        <x:f>B12/(2*B29)*1000</x:f>
        <x:v>154.052734375</x:v>
      </x:c>
    </x:row>
    <x:row r="33" ht="20" customHeight="1">
      <x:c r="D33" s="13" t="str">
        <x:v>Source-class cross-check</x:v>
      </x:c>
      <x:c r="E33" s="13"/>
      <x:c r="F33" s="13"/>
      <x:c r="G33" s="13"/>
      <x:c r="H33" s="13"/>
      <x:c r="I33" s="13"/>
      <x:c r="J33" s="13"/>
    </x:row>
    <x:row r="34" ht="30" customHeight="1">
      <x:c r="D34" s="20" t="str">
        <x:v>Length</x:v>
      </x:c>
      <x:c r="E34" s="20" t="str">
        <x:v>Axial Hz</x:v>
      </x:c>
      <x:c r="F34" s="20" t="str">
        <x:v>Nearest N</x:v>
      </x:c>
      <x:c r="G34" s="20" t="str">
        <x:v>Target Hz</x:v>
      </x:c>
      <x:c r="H34" s="20" t="str">
        <x:v>Error %</x:v>
      </x:c>
      <x:c r="I34" s="20" t="str">
        <x:v>Ideal length</x:v>
      </x:c>
      <x:c r="J34" s="20" t="str">
        <x:v>Comment</x:v>
      </x:c>
    </x:row>
    <x:row r="35">
      <x:c r="D35" s="42" t="n">
        <x:v>101</x:v>
      </x:c>
      <x:c r="E35" s="42" t="n">
        <x:f>$B$12/(2*(D35/1000))</x:f>
        <x:v>31237.623762376235</x:v>
      </x:c>
      <x:c r="F35" s="42" t="n">
        <x:f>ROUND(E35/$B$13,0)</x:f>
        <x:v>8</x:v>
      </x:c>
      <x:c r="G35" s="42" t="n">
        <x:f>F35*$B$13</x:f>
        <x:v>32768</x:v>
      </x:c>
      <x:c r="H35" s="40" t="n">
        <x:f>E35/G35-1</x:f>
        <x:v>-0.0467033763923268</x:v>
      </x:c>
      <x:c r="I35" s="42" t="n">
        <x:f>$B$12/(2*G35)*1000</x:f>
        <x:v>96.282958984375</x:v>
      </x:c>
      <x:c r="J35" s="42" t="str">
        <x:v>Source/specimen comparison</x:v>
      </x:c>
    </x:row>
    <x:row r="36">
      <x:c r="D36" s="42" t="n">
        <x:v>110</x:v>
      </x:c>
      <x:c r="E36" s="42" t="n">
        <x:f>$B$12/(2*(D36/1000))</x:f>
        <x:v>28681.81818181818</x:v>
      </x:c>
      <x:c r="F36" s="42" t="n">
        <x:f>ROUND(E36/$B$13,0)</x:f>
        <x:v>7</x:v>
      </x:c>
      <x:c r="G36" s="42" t="n">
        <x:f>F36*$B$13</x:f>
        <x:v>28672</x:v>
      </x:c>
      <x:c r="H36" s="40" t="n">
        <x:f>E36/G36-1</x:f>
        <x:v>0.0003424310064934488</x:v>
      </x:c>
      <x:c r="I36" s="42" t="n">
        <x:f>$B$12/(2*G36)*1000</x:f>
        <x:v>110.03766741071429</x:v>
      </x:c>
      <x:c r="J36" s="42" t="str">
        <x:v>Source/specimen comparison</x:v>
      </x:c>
    </x:row>
    <x:row r="37">
      <x:c r="D37" s="42" t="n">
        <x:v>116</x:v>
      </x:c>
      <x:c r="E37" s="42" t="n">
        <x:f>$B$12/(2*(D37/1000))</x:f>
        <x:v>27198.275862068964</x:v>
      </x:c>
      <x:c r="F37" s="42" t="n">
        <x:f>ROUND(E37/$B$13,0)</x:f>
        <x:v>7</x:v>
      </x:c>
      <x:c r="G37" s="42" t="n">
        <x:f>F37*$B$13</x:f>
        <x:v>28672</x:v>
      </x:c>
      <x:c r="H37" s="40" t="n">
        <x:f>E37/G37-1</x:f>
        <x:v>-0.0513994188731528</x:v>
      </x:c>
      <x:c r="I37" s="42" t="n">
        <x:f>$B$12/(2*G37)*1000</x:f>
        <x:v>110.03766741071429</x:v>
      </x:c>
      <x:c r="J37" s="42" t="str">
        <x:v>Source/specimen comparison</x:v>
      </x:c>
    </x:row>
    <x:row r="38">
      <x:c r="D38" s="42" t="n">
        <x:v>125</x:v>
      </x:c>
      <x:c r="E38" s="42" t="n">
        <x:f>$B$12/(2*(D38/1000))</x:f>
        <x:v>25240</x:v>
      </x:c>
      <x:c r="F38" s="42" t="n">
        <x:f>ROUND(E38/$B$13,0)</x:f>
        <x:v>6</x:v>
      </x:c>
      <x:c r="G38" s="42" t="n">
        <x:f>F38*$B$13</x:f>
        <x:v>24576</x:v>
      </x:c>
      <x:c r="H38" s="40" t="n">
        <x:f>E38/G38-1</x:f>
        <x:v>0.02701822916666674</x:v>
      </x:c>
      <x:c r="I38" s="42" t="n">
        <x:f>$B$12/(2*G38)*1000</x:f>
        <x:v>128.37727864583334</x:v>
      </x:c>
      <x:c r="J38" s="42" t="str">
        <x:v>Source/specimen comparison</x:v>
      </x:c>
    </x:row>
    <x:row r="39">
      <x:c r="D39" s="42" t="n">
        <x:v>138</x:v>
      </x:c>
      <x:c r="E39" s="42" t="n">
        <x:f>$B$12/(2*(D39/1000))</x:f>
        <x:v>22862.31884057971</x:v>
      </x:c>
      <x:c r="F39" s="42" t="n">
        <x:f>ROUND(E39/$B$13,0)</x:f>
        <x:v>6</x:v>
      </x:c>
      <x:c r="G39" s="42" t="n">
        <x:f>F39*$B$13</x:f>
        <x:v>24576</x:v>
      </x:c>
      <x:c r="H39" s="40" t="n">
        <x:f>E39/G39-1</x:f>
        <x:v>-0.06972986488526578</x:v>
      </x:c>
      <x:c r="I39" s="42" t="n">
        <x:f>$B$12/(2*G39)*1000</x:f>
        <x:v>128.37727864583334</x:v>
      </x:c>
      <x:c r="J39" s="42" t="str">
        <x:v>Source/specimen comparison</x:v>
      </x:c>
    </x:row>
    <x:row r="40">
      <x:c r="D40" s="42" t="n">
        <x:v>150</x:v>
      </x:c>
      <x:c r="E40" s="42" t="n">
        <x:f>$B$12/(2*(D40/1000))</x:f>
        <x:v>21033.333333333336</x:v>
      </x:c>
      <x:c r="F40" s="42" t="n">
        <x:f>ROUND(E40/$B$13,0)</x:f>
        <x:v>5</x:v>
      </x:c>
      <x:c r="G40" s="42" t="n">
        <x:f>F40*$B$13</x:f>
        <x:v>20480</x:v>
      </x:c>
      <x:c r="H40" s="40" t="n">
        <x:f>E40/G40-1</x:f>
        <x:v>0.02701822916666674</x:v>
      </x:c>
      <x:c r="I40" s="42" t="n">
        <x:f>$B$12/(2*G40)*1000</x:f>
        <x:v>154.052734375</x:v>
      </x:c>
      <x:c r="J40" s="42" t="str">
        <x:v>Source/specimen comparison</x:v>
      </x:c>
    </x:row>
    <x:row r="41">
      <x:c r="D41" s="42" t="n">
        <x:v>152</x:v>
      </x:c>
      <x:c r="E41" s="42" t="n">
        <x:f>$B$12/(2*(D41/1000))</x:f>
        <x:v>20756.57894736842</x:v>
      </x:c>
      <x:c r="F41" s="42" t="n">
        <x:f>ROUND(E41/$B$13,0)</x:f>
        <x:v>5</x:v>
      </x:c>
      <x:c r="G41" s="42" t="n">
        <x:f>F41*$B$13</x:f>
        <x:v>20480</x:v>
      </x:c>
      <x:c r="H41" s="40" t="n">
        <x:f>E41/G41-1</x:f>
        <x:v>0.013504831414473673</x:v>
      </x:c>
      <x:c r="I41" s="42" t="n">
        <x:f>$B$12/(2*G41)*1000</x:f>
        <x:v>154.052734375</x:v>
      </x:c>
      <x:c r="J41" s="42" t="str">
        <x:v>Source/specimen comparison</x:v>
      </x:c>
    </x:row>
    <x:row r="42">
      <x:c r="D42" s="42" t="n">
        <x:v>153</x:v>
      </x:c>
      <x:c r="E42" s="42" t="n">
        <x:f>$B$12/(2*(D42/1000))</x:f>
        <x:v>20620.91503267974</x:v>
      </x:c>
      <x:c r="F42" s="42" t="n">
        <x:f>ROUND(E42/$B$13,0)</x:f>
        <x:v>5</x:v>
      </x:c>
      <x:c r="G42" s="42" t="n">
        <x:f>F42*$B$13</x:f>
        <x:v>20480</x:v>
      </x:c>
      <x:c r="H42" s="40" t="n">
        <x:f>E42/G42-1</x:f>
        <x:v>0.006880616830065467</x:v>
      </x:c>
      <x:c r="I42" s="42" t="n">
        <x:f>$B$12/(2*G42)*1000</x:f>
        <x:v>154.052734375</x:v>
      </x:c>
      <x:c r="J42" s="42" t="str">
        <x:v>Source/specimen comparison</x:v>
      </x:c>
    </x:row>
    <x:row r="43">
      <x:c r="D43" s="42" t="n">
        <x:v>157</x:v>
      </x:c>
      <x:c r="E43" s="42" t="n">
        <x:f>$B$12/(2*(D43/1000))</x:f>
        <x:v>20095.541401273884</x:v>
      </x:c>
      <x:c r="F43" s="42" t="n">
        <x:f>ROUND(E43/$B$13,0)</x:f>
        <x:v>5</x:v>
      </x:c>
      <x:c r="G43" s="42" t="n">
        <x:f>F43*$B$13</x:f>
        <x:v>20480</x:v>
      </x:c>
      <x:c r="H43" s="40" t="n">
        <x:f>E43/G43-1</x:f>
        <x:v>-0.018772392515923664</x:v>
      </x:c>
      <x:c r="I43" s="42" t="n">
        <x:f>$B$12/(2*G43)*1000</x:f>
        <x:v>154.052734375</x:v>
      </x:c>
      <x:c r="J43" s="42" t="str">
        <x:v>Source/specimen comparison</x:v>
      </x:c>
    </x:row>
  </x:sheetData>
  <x:mergeCells>
    <x:mergeCell ref="A1:J1"/>
    <x:mergeCell ref="A2:J2"/>
    <x:mergeCell ref="A4:B4"/>
    <x:mergeCell ref="A15:B15"/>
    <x:mergeCell ref="D33:J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</x:cols>
  <x:sheetData>
    <x:row r="1" ht="30" customHeight="1">
      <x:c r="A1" s="3" t="str">
        <x:v>4096 Harmonic Length Ladder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First-order axial half-wave design family.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20" t="str">
        <x:v>N</x:v>
      </x:c>
      <x:c r="B4" s="20" t="str">
        <x:v>Target frequency (Hz)</x:v>
      </x:c>
      <x:c r="C4" s="20" t="str">
        <x:v>Ideal length (mm)</x:v>
      </x:c>
      <x:c r="D4" s="20" t="str">
        <x:v>Full wavelength (mm)</x:v>
      </x:c>
      <x:c r="E4" s="20" t="str">
        <x:v>Power of 2</x:v>
      </x:c>
      <x:c r="F4" s="20" t="str">
        <x:v>Length ratio vs N=5</x:v>
      </x:c>
      <x:c r="G4" s="20" t="str">
        <x:v>Class</x:v>
      </x:c>
      <x:c r="H4" s="20" t="str">
        <x:v>Notes</x:v>
      </x:c>
    </x:row>
    <x:row r="5">
      <x:c r="A5" s="42" t="n">
        <x:v>1</x:v>
      </x:c>
      <x:c r="B5" s="42" t="n">
        <x:f>'Design Inputs'!$B$5*A5</x:f>
        <x:v>4096</x:v>
      </x:c>
      <x:c r="C5" s="42" t="n">
        <x:f>'Design Inputs'!$B$6/(2*B5)*1000</x:f>
        <x:v>770.263671875</x:v>
      </x:c>
      <x:c r="D5" s="42" t="n">
        <x:f>'Design Inputs'!$B$6/B5*1000</x:f>
        <x:v>1540.52734375</x:v>
      </x:c>
      <x:c r="E5" s="42" t="n">
        <x:f>IF(MOD(LOG(B5,2),1)=0,LOG(B5,2),"")</x:f>
        <x:v>12</x:v>
      </x:c>
      <x:c r="F5" s="42" t="n">
        <x:f>C5/$C$9</x:f>
        <x:v>5</x:v>
      </x:c>
      <x:c r="G5" s="42" t="str">
        <x:f>IF(A5&lt;5,"Long",IF(A5&lt;=12,"Primary","Short"))</x:f>
        <x:v>Long</x:v>
      </x:c>
      <x:c r="H5" s="42" t="str">
        <x:f>IF(A5=5,"20.480 kHz primary",IF(A5=7,"110 mm class",IF(A5=8,"32.768 kHz reference","")))</x:f>
      </x:c>
    </x:row>
    <x:row r="6">
      <x:c r="A6" s="42" t="n">
        <x:v>2</x:v>
      </x:c>
      <x:c r="B6" s="42" t="n">
        <x:f>'Design Inputs'!$B$5*A6</x:f>
        <x:v>8192</x:v>
      </x:c>
      <x:c r="C6" s="42" t="n">
        <x:f>'Design Inputs'!$B$6/(2*B6)*1000</x:f>
        <x:v>385.1318359375</x:v>
      </x:c>
      <x:c r="D6" s="42" t="n">
        <x:f>'Design Inputs'!$B$6/B6*1000</x:f>
        <x:v>770.263671875</x:v>
      </x:c>
      <x:c r="E6" s="42" t="n">
        <x:f>IF(MOD(LOG(B6,2),1)=0,LOG(B6,2),"")</x:f>
        <x:v>13</x:v>
      </x:c>
      <x:c r="F6" s="42" t="n">
        <x:f>C6/$C$9</x:f>
        <x:v>2.5</x:v>
      </x:c>
      <x:c r="G6" s="42" t="str">
        <x:f>IF(A6&lt;5,"Long",IF(A6&lt;=12,"Primary","Short"))</x:f>
        <x:v>Long</x:v>
      </x:c>
      <x:c r="H6" s="42" t="str">
        <x:f>IF(A6=5,"20.480 kHz primary",IF(A6=7,"110 mm class",IF(A6=8,"32.768 kHz reference","")))</x:f>
      </x:c>
    </x:row>
    <x:row r="7">
      <x:c r="A7" s="42" t="n">
        <x:v>3</x:v>
      </x:c>
      <x:c r="B7" s="42" t="n">
        <x:f>'Design Inputs'!$B$5*A7</x:f>
        <x:v>12288</x:v>
      </x:c>
      <x:c r="C7" s="42" t="n">
        <x:f>'Design Inputs'!$B$6/(2*B7)*1000</x:f>
        <x:v>256.7545572916667</x:v>
      </x:c>
      <x:c r="D7" s="42" t="n">
        <x:f>'Design Inputs'!$B$6/B7*1000</x:f>
        <x:v>513.5091145833334</x:v>
      </x:c>
      <x:c r="E7" s="42" t="str">
        <x:f>IF(MOD(LOG(B7,2),1)=0,LOG(B7,2),"")</x:f>
      </x:c>
      <x:c r="F7" s="42" t="n">
        <x:f>C7/$C$9</x:f>
        <x:v>1.6666666666666667</x:v>
      </x:c>
      <x:c r="G7" s="42" t="str">
        <x:f>IF(A7&lt;5,"Long",IF(A7&lt;=12,"Primary","Short"))</x:f>
        <x:v>Long</x:v>
      </x:c>
      <x:c r="H7" s="42" t="str">
        <x:f>IF(A7=5,"20.480 kHz primary",IF(A7=7,"110 mm class",IF(A7=8,"32.768 kHz reference","")))</x:f>
      </x:c>
    </x:row>
    <x:row r="8">
      <x:c r="A8" s="42" t="n">
        <x:v>4</x:v>
      </x:c>
      <x:c r="B8" s="42" t="n">
        <x:f>'Design Inputs'!$B$5*A8</x:f>
        <x:v>16384</x:v>
      </x:c>
      <x:c r="C8" s="42" t="n">
        <x:f>'Design Inputs'!$B$6/(2*B8)*1000</x:f>
        <x:v>192.56591796875</x:v>
      </x:c>
      <x:c r="D8" s="42" t="n">
        <x:f>'Design Inputs'!$B$6/B8*1000</x:f>
        <x:v>385.1318359375</x:v>
      </x:c>
      <x:c r="E8" s="42" t="n">
        <x:f>IF(MOD(LOG(B8,2),1)=0,LOG(B8,2),"")</x:f>
        <x:v>14</x:v>
      </x:c>
      <x:c r="F8" s="42" t="n">
        <x:f>C8/$C$9</x:f>
        <x:v>1.25</x:v>
      </x:c>
      <x:c r="G8" s="42" t="str">
        <x:f>IF(A8&lt;5,"Long",IF(A8&lt;=12,"Primary","Short"))</x:f>
        <x:v>Long</x:v>
      </x:c>
      <x:c r="H8" s="42" t="str">
        <x:f>IF(A8=5,"20.480 kHz primary",IF(A8=7,"110 mm class",IF(A8=8,"32.768 kHz reference","")))</x:f>
      </x:c>
    </x:row>
    <x:row r="9">
      <x:c r="A9" s="42" t="n">
        <x:v>5</x:v>
      </x:c>
      <x:c r="B9" s="42" t="n">
        <x:f>'Design Inputs'!$B$5*A9</x:f>
        <x:v>20480</x:v>
      </x:c>
      <x:c r="C9" s="42" t="n">
        <x:f>'Design Inputs'!$B$6/(2*B9)*1000</x:f>
        <x:v>154.052734375</x:v>
      </x:c>
      <x:c r="D9" s="42" t="n">
        <x:f>'Design Inputs'!$B$6/B9*1000</x:f>
        <x:v>308.10546875</x:v>
      </x:c>
      <x:c r="E9" s="42" t="str">
        <x:f>IF(MOD(LOG(B9,2),1)=0,LOG(B9,2),"")</x:f>
      </x:c>
      <x:c r="F9" s="42" t="n">
        <x:f>C9/$C$9</x:f>
        <x:v>1</x:v>
      </x:c>
      <x:c r="G9" s="42" t="str">
        <x:f>IF(A9&lt;5,"Long",IF(A9&lt;=12,"Primary","Short"))</x:f>
        <x:v>Primary</x:v>
      </x:c>
      <x:c r="H9" s="42" t="str">
        <x:f>IF(A9=5,"20.480 kHz primary",IF(A9=7,"110 mm class",IF(A9=8,"32.768 kHz reference","")))</x:f>
        <x:v>20.480 kHz primary</x:v>
      </x:c>
    </x:row>
    <x:row r="10">
      <x:c r="A10" s="42" t="n">
        <x:v>6</x:v>
      </x:c>
      <x:c r="B10" s="42" t="n">
        <x:f>'Design Inputs'!$B$5*A10</x:f>
        <x:v>24576</x:v>
      </x:c>
      <x:c r="C10" s="42" t="n">
        <x:f>'Design Inputs'!$B$6/(2*B10)*1000</x:f>
        <x:v>128.37727864583334</x:v>
      </x:c>
      <x:c r="D10" s="42" t="n">
        <x:f>'Design Inputs'!$B$6/B10*1000</x:f>
        <x:v>256.7545572916667</x:v>
      </x:c>
      <x:c r="E10" s="42" t="str">
        <x:f>IF(MOD(LOG(B10,2),1)=0,LOG(B10,2),"")</x:f>
      </x:c>
      <x:c r="F10" s="42" t="n">
        <x:f>C10/$C$9</x:f>
        <x:v>0.8333333333333334</x:v>
      </x:c>
      <x:c r="G10" s="42" t="str">
        <x:f>IF(A10&lt;5,"Long",IF(A10&lt;=12,"Primary","Short"))</x:f>
        <x:v>Primary</x:v>
      </x:c>
      <x:c r="H10" s="42" t="str">
        <x:f>IF(A10=5,"20.480 kHz primary",IF(A10=7,"110 mm class",IF(A10=8,"32.768 kHz reference","")))</x:f>
      </x:c>
    </x:row>
    <x:row r="11">
      <x:c r="A11" s="42" t="n">
        <x:v>7</x:v>
      </x:c>
      <x:c r="B11" s="42" t="n">
        <x:f>'Design Inputs'!$B$5*A11</x:f>
        <x:v>28672</x:v>
      </x:c>
      <x:c r="C11" s="42" t="n">
        <x:f>'Design Inputs'!$B$6/(2*B11)*1000</x:f>
        <x:v>110.03766741071429</x:v>
      </x:c>
      <x:c r="D11" s="42" t="n">
        <x:f>'Design Inputs'!$B$6/B11*1000</x:f>
        <x:v>220.07533482142858</x:v>
      </x:c>
      <x:c r="E11" s="42" t="str">
        <x:f>IF(MOD(LOG(B11,2),1)=0,LOG(B11,2),"")</x:f>
      </x:c>
      <x:c r="F11" s="42" t="n">
        <x:f>C11/$C$9</x:f>
        <x:v>0.7142857142857143</x:v>
      </x:c>
      <x:c r="G11" s="42" t="str">
        <x:f>IF(A11&lt;5,"Long",IF(A11&lt;=12,"Primary","Short"))</x:f>
        <x:v>Primary</x:v>
      </x:c>
      <x:c r="H11" s="42" t="str">
        <x:f>IF(A11=5,"20.480 kHz primary",IF(A11=7,"110 mm class",IF(A11=8,"32.768 kHz reference","")))</x:f>
        <x:v>110 mm class</x:v>
      </x:c>
    </x:row>
    <x:row r="12">
      <x:c r="A12" s="42" t="n">
        <x:v>8</x:v>
      </x:c>
      <x:c r="B12" s="42" t="n">
        <x:f>'Design Inputs'!$B$5*A12</x:f>
        <x:v>32768</x:v>
      </x:c>
      <x:c r="C12" s="42" t="n">
        <x:f>'Design Inputs'!$B$6/(2*B12)*1000</x:f>
        <x:v>96.282958984375</x:v>
      </x:c>
      <x:c r="D12" s="42" t="n">
        <x:f>'Design Inputs'!$B$6/B12*1000</x:f>
        <x:v>192.56591796875</x:v>
      </x:c>
      <x:c r="E12" s="42" t="n">
        <x:f>IF(MOD(LOG(B12,2),1)=0,LOG(B12,2),"")</x:f>
        <x:v>15</x:v>
      </x:c>
      <x:c r="F12" s="42" t="n">
        <x:f>C12/$C$9</x:f>
        <x:v>0.625</x:v>
      </x:c>
      <x:c r="G12" s="42" t="str">
        <x:f>IF(A12&lt;5,"Long",IF(A12&lt;=12,"Primary","Short"))</x:f>
        <x:v>Primary</x:v>
      </x:c>
      <x:c r="H12" s="42" t="str">
        <x:f>IF(A12=5,"20.480 kHz primary",IF(A12=7,"110 mm class",IF(A12=8,"32.768 kHz reference","")))</x:f>
        <x:v>32.768 kHz reference</x:v>
      </x:c>
    </x:row>
    <x:row r="13">
      <x:c r="A13" s="42" t="n">
        <x:v>9</x:v>
      </x:c>
      <x:c r="B13" s="42" t="n">
        <x:f>'Design Inputs'!$B$5*A13</x:f>
        <x:v>36864</x:v>
      </x:c>
      <x:c r="C13" s="42" t="n">
        <x:f>'Design Inputs'!$B$6/(2*B13)*1000</x:f>
        <x:v>85.58485243055556</x:v>
      </x:c>
      <x:c r="D13" s="42" t="n">
        <x:f>'Design Inputs'!$B$6/B13*1000</x:f>
        <x:v>171.16970486111111</x:v>
      </x:c>
      <x:c r="E13" s="42" t="str">
        <x:f>IF(MOD(LOG(B13,2),1)=0,LOG(B13,2),"")</x:f>
      </x:c>
      <x:c r="F13" s="42" t="n">
        <x:f>C13/$C$9</x:f>
        <x:v>0.5555555555555556</x:v>
      </x:c>
      <x:c r="G13" s="42" t="str">
        <x:f>IF(A13&lt;5,"Long",IF(A13&lt;=12,"Primary","Short"))</x:f>
        <x:v>Primary</x:v>
      </x:c>
      <x:c r="H13" s="42" t="str">
        <x:f>IF(A13=5,"20.480 kHz primary",IF(A13=7,"110 mm class",IF(A13=8,"32.768 kHz reference","")))</x:f>
      </x:c>
    </x:row>
    <x:row r="14">
      <x:c r="A14" s="42" t="n">
        <x:v>10</x:v>
      </x:c>
      <x:c r="B14" s="42" t="n">
        <x:f>'Design Inputs'!$B$5*A14</x:f>
        <x:v>40960</x:v>
      </x:c>
      <x:c r="C14" s="42" t="n">
        <x:f>'Design Inputs'!$B$6/(2*B14)*1000</x:f>
        <x:v>77.0263671875</x:v>
      </x:c>
      <x:c r="D14" s="42" t="n">
        <x:f>'Design Inputs'!$B$6/B14*1000</x:f>
        <x:v>154.052734375</x:v>
      </x:c>
      <x:c r="E14" s="42" t="str">
        <x:f>IF(MOD(LOG(B14,2),1)=0,LOG(B14,2),"")</x:f>
      </x:c>
      <x:c r="F14" s="42" t="n">
        <x:f>C14/$C$9</x:f>
        <x:v>0.5</x:v>
      </x:c>
      <x:c r="G14" s="42" t="str">
        <x:f>IF(A14&lt;5,"Long",IF(A14&lt;=12,"Primary","Short"))</x:f>
        <x:v>Primary</x:v>
      </x:c>
      <x:c r="H14" s="42" t="str">
        <x:f>IF(A14=5,"20.480 kHz primary",IF(A14=7,"110 mm class",IF(A14=8,"32.768 kHz reference","")))</x:f>
      </x:c>
    </x:row>
    <x:row r="15">
      <x:c r="A15" s="42" t="n">
        <x:v>11</x:v>
      </x:c>
      <x:c r="B15" s="42" t="n">
        <x:f>'Design Inputs'!$B$5*A15</x:f>
        <x:v>45056</x:v>
      </x:c>
      <x:c r="C15" s="42" t="n">
        <x:f>'Design Inputs'!$B$6/(2*B15)*1000</x:f>
        <x:v>70.02397017045455</x:v>
      </x:c>
      <x:c r="D15" s="42" t="n">
        <x:f>'Design Inputs'!$B$6/B15*1000</x:f>
        <x:v>140.0479403409091</x:v>
      </x:c>
      <x:c r="E15" s="42" t="str">
        <x:f>IF(MOD(LOG(B15,2),1)=0,LOG(B15,2),"")</x:f>
      </x:c>
      <x:c r="F15" s="42" t="n">
        <x:f>C15/$C$9</x:f>
        <x:v>0.45454545454545453</x:v>
      </x:c>
      <x:c r="G15" s="42" t="str">
        <x:f>IF(A15&lt;5,"Long",IF(A15&lt;=12,"Primary","Short"))</x:f>
        <x:v>Primary</x:v>
      </x:c>
      <x:c r="H15" s="42" t="str">
        <x:f>IF(A15=5,"20.480 kHz primary",IF(A15=7,"110 mm class",IF(A15=8,"32.768 kHz reference","")))</x:f>
      </x:c>
    </x:row>
    <x:row r="16">
      <x:c r="A16" s="42" t="n">
        <x:v>12</x:v>
      </x:c>
      <x:c r="B16" s="42" t="n">
        <x:f>'Design Inputs'!$B$5*A16</x:f>
        <x:v>49152</x:v>
      </x:c>
      <x:c r="C16" s="42" t="n">
        <x:f>'Design Inputs'!$B$6/(2*B16)*1000</x:f>
        <x:v>64.18863932291667</x:v>
      </x:c>
      <x:c r="D16" s="42" t="n">
        <x:f>'Design Inputs'!$B$6/B16*1000</x:f>
        <x:v>128.37727864583334</x:v>
      </x:c>
      <x:c r="E16" s="42" t="str">
        <x:f>IF(MOD(LOG(B16,2),1)=0,LOG(B16,2),"")</x:f>
      </x:c>
      <x:c r="F16" s="42" t="n">
        <x:f>C16/$C$9</x:f>
        <x:v>0.4166666666666667</x:v>
      </x:c>
      <x:c r="G16" s="42" t="str">
        <x:f>IF(A16&lt;5,"Long",IF(A16&lt;=12,"Primary","Short"))</x:f>
        <x:v>Primary</x:v>
      </x:c>
      <x:c r="H16" s="42" t="str">
        <x:f>IF(A16=5,"20.480 kHz primary",IF(A16=7,"110 mm class",IF(A16=8,"32.768 kHz reference","")))</x:f>
      </x:c>
    </x:row>
    <x:row r="17">
      <x:c r="A17" s="42" t="n">
        <x:v>13</x:v>
      </x:c>
      <x:c r="B17" s="42" t="n">
        <x:f>'Design Inputs'!$B$5*A17</x:f>
        <x:v>53248</x:v>
      </x:c>
      <x:c r="C17" s="42" t="n">
        <x:f>'Design Inputs'!$B$6/(2*B17)*1000</x:f>
        <x:v>59.25105168269231</x:v>
      </x:c>
      <x:c r="D17" s="42" t="n">
        <x:f>'Design Inputs'!$B$6/B17*1000</x:f>
        <x:v>118.50210336538461</x:v>
      </x:c>
      <x:c r="E17" s="42" t="str">
        <x:f>IF(MOD(LOG(B17,2),1)=0,LOG(B17,2),"")</x:f>
      </x:c>
      <x:c r="F17" s="42" t="n">
        <x:f>C17/$C$9</x:f>
        <x:v>0.3846153846153846</x:v>
      </x:c>
      <x:c r="G17" s="42" t="str">
        <x:f>IF(A17&lt;5,"Long",IF(A17&lt;=12,"Primary","Short"))</x:f>
        <x:v>Short</x:v>
      </x:c>
      <x:c r="H17" s="42" t="str">
        <x:f>IF(A17=5,"20.480 kHz primary",IF(A17=7,"110 mm class",IF(A17=8,"32.768 kHz reference","")))</x:f>
      </x:c>
    </x:row>
    <x:row r="18">
      <x:c r="A18" s="42" t="n">
        <x:v>14</x:v>
      </x:c>
      <x:c r="B18" s="42" t="n">
        <x:f>'Design Inputs'!$B$5*A18</x:f>
        <x:v>57344</x:v>
      </x:c>
      <x:c r="C18" s="42" t="n">
        <x:f>'Design Inputs'!$B$6/(2*B18)*1000</x:f>
        <x:v>55.018833705357146</x:v>
      </x:c>
      <x:c r="D18" s="42" t="n">
        <x:f>'Design Inputs'!$B$6/B18*1000</x:f>
        <x:v>110.03766741071429</x:v>
      </x:c>
      <x:c r="E18" s="42" t="str">
        <x:f>IF(MOD(LOG(B18,2),1)=0,LOG(B18,2),"")</x:f>
      </x:c>
      <x:c r="F18" s="42" t="n">
        <x:f>C18/$C$9</x:f>
        <x:v>0.35714285714285715</x:v>
      </x:c>
      <x:c r="G18" s="42" t="str">
        <x:f>IF(A18&lt;5,"Long",IF(A18&lt;=12,"Primary","Short"))</x:f>
        <x:v>Short</x:v>
      </x:c>
      <x:c r="H18" s="42" t="str">
        <x:f>IF(A18=5,"20.480 kHz primary",IF(A18=7,"110 mm class",IF(A18=8,"32.768 kHz reference","")))</x:f>
      </x:c>
    </x:row>
    <x:row r="19">
      <x:c r="A19" s="42" t="n">
        <x:v>15</x:v>
      </x:c>
      <x:c r="B19" s="42" t="n">
        <x:f>'Design Inputs'!$B$5*A19</x:f>
        <x:v>61440</x:v>
      </x:c>
      <x:c r="C19" s="42" t="n">
        <x:f>'Design Inputs'!$B$6/(2*B19)*1000</x:f>
        <x:v>51.350911458333336</x:v>
      </x:c>
      <x:c r="D19" s="42" t="n">
        <x:f>'Design Inputs'!$B$6/B19*1000</x:f>
        <x:v>102.70182291666667</x:v>
      </x:c>
      <x:c r="E19" s="42" t="str">
        <x:f>IF(MOD(LOG(B19,2),1)=0,LOG(B19,2),"")</x:f>
      </x:c>
      <x:c r="F19" s="42" t="n">
        <x:f>C19/$C$9</x:f>
        <x:v>0.33333333333333337</x:v>
      </x:c>
      <x:c r="G19" s="42" t="str">
        <x:f>IF(A19&lt;5,"Long",IF(A19&lt;=12,"Primary","Short"))</x:f>
        <x:v>Short</x:v>
      </x:c>
      <x:c r="H19" s="42" t="str">
        <x:f>IF(A19=5,"20.480 kHz primary",IF(A19=7,"110 mm class",IF(A19=8,"32.768 kHz reference","")))</x:f>
      </x:c>
    </x:row>
    <x:row r="20">
      <x:c r="A20" s="42" t="n">
        <x:v>16</x:v>
      </x:c>
      <x:c r="B20" s="42" t="n">
        <x:f>'Design Inputs'!$B$5*A20</x:f>
        <x:v>65536</x:v>
      </x:c>
      <x:c r="C20" s="42" t="n">
        <x:f>'Design Inputs'!$B$6/(2*B20)*1000</x:f>
        <x:v>48.1414794921875</x:v>
      </x:c>
      <x:c r="D20" s="42" t="n">
        <x:f>'Design Inputs'!$B$6/B20*1000</x:f>
        <x:v>96.282958984375</x:v>
      </x:c>
      <x:c r="E20" s="42" t="n">
        <x:f>IF(MOD(LOG(B20,2),1)=0,LOG(B20,2),"")</x:f>
        <x:v>16</x:v>
      </x:c>
      <x:c r="F20" s="42" t="n">
        <x:f>C20/$C$9</x:f>
        <x:v>0.3125</x:v>
      </x:c>
      <x:c r="G20" s="42" t="str">
        <x:f>IF(A20&lt;5,"Long",IF(A20&lt;=12,"Primary","Short"))</x:f>
        <x:v>Short</x:v>
      </x:c>
      <x:c r="H20" s="42" t="str">
        <x:f>IF(A20=5,"20.480 kHz primary",IF(A20=7,"110 mm class",IF(A20=8,"32.768 kHz reference","")))</x:f>
      </x:c>
    </x:row>
    <x:row r="21">
      <x:c r="A21" s="42" t="n">
        <x:v>17</x:v>
      </x:c>
      <x:c r="B21" s="42" t="n">
        <x:f>'Design Inputs'!$B$5*A21</x:f>
        <x:v>69632</x:v>
      </x:c>
      <x:c r="C21" s="42" t="n">
        <x:f>'Design Inputs'!$B$6/(2*B21)*1000</x:f>
        <x:v>45.30962775735294</x:v>
      </x:c>
      <x:c r="D21" s="42" t="n">
        <x:f>'Design Inputs'!$B$6/B21*1000</x:f>
        <x:v>90.61925551470588</x:v>
      </x:c>
      <x:c r="E21" s="42" t="str">
        <x:f>IF(MOD(LOG(B21,2),1)=0,LOG(B21,2),"")</x:f>
      </x:c>
      <x:c r="F21" s="42" t="n">
        <x:f>C21/$C$9</x:f>
        <x:v>0.29411764705882354</x:v>
      </x:c>
      <x:c r="G21" s="42" t="str">
        <x:f>IF(A21&lt;5,"Long",IF(A21&lt;=12,"Primary","Short"))</x:f>
        <x:v>Short</x:v>
      </x:c>
      <x:c r="H21" s="42" t="str">
        <x:f>IF(A21=5,"20.480 kHz primary",IF(A21=7,"110 mm class",IF(A21=8,"32.768 kHz reference","")))</x:f>
      </x:c>
    </x:row>
    <x:row r="22">
      <x:c r="A22" s="42" t="n">
        <x:v>18</x:v>
      </x:c>
      <x:c r="B22" s="42" t="n">
        <x:f>'Design Inputs'!$B$5*A22</x:f>
        <x:v>73728</x:v>
      </x:c>
      <x:c r="C22" s="42" t="n">
        <x:f>'Design Inputs'!$B$6/(2*B22)*1000</x:f>
        <x:v>42.79242621527778</x:v>
      </x:c>
      <x:c r="D22" s="42" t="n">
        <x:f>'Design Inputs'!$B$6/B22*1000</x:f>
        <x:v>85.58485243055556</x:v>
      </x:c>
      <x:c r="E22" s="42" t="str">
        <x:f>IF(MOD(LOG(B22,2),1)=0,LOG(B22,2),"")</x:f>
      </x:c>
      <x:c r="F22" s="42" t="n">
        <x:f>C22/$C$9</x:f>
        <x:v>0.2777777777777778</x:v>
      </x:c>
      <x:c r="G22" s="42" t="str">
        <x:f>IF(A22&lt;5,"Long",IF(A22&lt;=12,"Primary","Short"))</x:f>
        <x:v>Short</x:v>
      </x:c>
      <x:c r="H22" s="42" t="str">
        <x:f>IF(A22=5,"20.480 kHz primary",IF(A22=7,"110 mm class",IF(A22=8,"32.768 kHz reference","")))</x:f>
      </x:c>
    </x:row>
    <x:row r="23">
      <x:c r="A23" s="42" t="n">
        <x:v>19</x:v>
      </x:c>
      <x:c r="B23" s="42" t="n">
        <x:f>'Design Inputs'!$B$5*A23</x:f>
        <x:v>77824</x:v>
      </x:c>
      <x:c r="C23" s="42" t="n">
        <x:f>'Design Inputs'!$B$6/(2*B23)*1000</x:f>
        <x:v>40.540193256578945</x:v>
      </x:c>
      <x:c r="D23" s="42" t="n">
        <x:f>'Design Inputs'!$B$6/B23*1000</x:f>
        <x:v>81.08038651315789</x:v>
      </x:c>
      <x:c r="E23" s="42" t="str">
        <x:f>IF(MOD(LOG(B23,2),1)=0,LOG(B23,2),"")</x:f>
      </x:c>
      <x:c r="F23" s="42" t="n">
        <x:f>C23/$C$9</x:f>
        <x:v>0.2631578947368421</x:v>
      </x:c>
      <x:c r="G23" s="42" t="str">
        <x:f>IF(A23&lt;5,"Long",IF(A23&lt;=12,"Primary","Short"))</x:f>
        <x:v>Short</x:v>
      </x:c>
      <x:c r="H23" s="42" t="str">
        <x:f>IF(A23=5,"20.480 kHz primary",IF(A23=7,"110 mm class",IF(A23=8,"32.768 kHz reference","")))</x:f>
      </x:c>
    </x:row>
    <x:row r="24">
      <x:c r="A24" s="42" t="n">
        <x:v>20</x:v>
      </x:c>
      <x:c r="B24" s="42" t="n">
        <x:f>'Design Inputs'!$B$5*A24</x:f>
        <x:v>81920</x:v>
      </x:c>
      <x:c r="C24" s="42" t="n">
        <x:f>'Design Inputs'!$B$6/(2*B24)*1000</x:f>
        <x:v>38.51318359375</x:v>
      </x:c>
      <x:c r="D24" s="42" t="n">
        <x:f>'Design Inputs'!$B$6/B24*1000</x:f>
        <x:v>77.0263671875</x:v>
      </x:c>
      <x:c r="E24" s="42" t="str">
        <x:f>IF(MOD(LOG(B24,2),1)=0,LOG(B24,2),"")</x:f>
      </x:c>
      <x:c r="F24" s="42" t="n">
        <x:f>C24/$C$9</x:f>
        <x:v>0.25</x:v>
      </x:c>
      <x:c r="G24" s="42" t="str">
        <x:f>IF(A24&lt;5,"Long",IF(A24&lt;=12,"Primary","Short"))</x:f>
        <x:v>Short</x:v>
      </x:c>
      <x:c r="H24" s="42" t="str">
        <x:f>IF(A24=5,"20.480 kHz primary",IF(A24=7,"110 mm class",IF(A24=8,"32.768 kHz reference","")))</x:f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f13160c86a44ac9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Compact-Coordinate Mode Spectrum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Paper-inspired formula: f_n^2 = f_b^2 + [n vchi / (2 pi Rchi)]^2.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Linked parameters</x:v>
      </x:c>
      <x:c r="B4" s="13"/>
    </x:row>
    <x:row r="5">
      <x:c r="A5" t="str">
        <x:v>Base frequency fb (Hz)</x:v>
      </x:c>
      <x:c r="B5" s="35" t="n">
        <x:f>'Design Inputs'!B17</x:f>
        <x:v>0</x:v>
      </x:c>
    </x:row>
    <x:row r="6">
      <x:c r="A6" t="str">
        <x:v>Propagation speed vchi (m/s)</x:v>
      </x:c>
      <x:c r="B6" s="35" t="n">
        <x:f>'Design Inputs'!B18</x:f>
        <x:v>6310</x:v>
      </x:c>
    </x:row>
    <x:row r="7">
      <x:c r="A7" t="str">
        <x:v>Compact radius Rchi (mm)</x:v>
      </x:c>
      <x:c r="B7" s="35" t="n">
        <x:f>'Design Inputs'!B19</x:f>
        <x:v>100</x:v>
      </x:c>
    </x:row>
    <x:row r="8">
      <x:c r="A8" t="str">
        <x:v>Maximum n</x:v>
      </x:c>
      <x:c r="B8" s="35" t="n">
        <x:f>'Design Inputs'!B20</x:f>
        <x:v>12</x:v>
      </x:c>
    </x:row>
    <x:row r="9">
      <x:c r="A9" t="str">
        <x:v>Parity selection</x:v>
      </x:c>
      <x:c r="B9" s="35" t="str">
        <x:f>'Design Inputs'!B21</x:f>
        <x:v>all</x:v>
      </x:c>
    </x:row>
    <x:row r="11" ht="20" customHeight="1">
      <x:c r="A11" s="13" t="str">
        <x:v>Mode table</x:v>
      </x:c>
      <x:c r="B11" s="13"/>
      <x:c r="C11" s="13"/>
      <x:c r="D11" s="13"/>
      <x:c r="E11" s="13"/>
      <x:c r="F11" s="13"/>
      <x:c r="G11" s="13"/>
    </x:row>
    <x:row r="12" ht="30" customHeight="1">
      <x:c r="A12" s="20" t="str">
        <x:v>n</x:v>
      </x:c>
      <x:c r="B12" s="20" t="str">
        <x:v>Parity</x:v>
      </x:c>
      <x:c r="C12" s="20" t="str">
        <x:v>Included?</x:v>
      </x:c>
      <x:c r="D12" s="20" t="str">
        <x:v>Compact term (Hz)</x:v>
      </x:c>
      <x:c r="E12" s="20" t="str">
        <x:v>Mode frequency (Hz)</x:v>
      </x:c>
      <x:c r="F12" s="20" t="str">
        <x:v>Mode frequency (kHz)</x:v>
      </x:c>
      <x:c r="G12" s="20" t="str">
        <x:v>Nearest 4096 N</x:v>
      </x:c>
    </x:row>
    <x:row r="13">
      <x:c r="A13" s="42" t="n">
        <x:v>1</x:v>
      </x:c>
      <x:c r="B13" s="42" t="str">
        <x:f>IF(MOD(A13,2)=0,"even","odd")</x:f>
        <x:v>odd</x:v>
      </x:c>
      <x:c r="C13" s="42" t="str">
        <x:f>IF(OR($B$9="all",$B$9=B13),"YES","NO")</x:f>
        <x:v>YES</x:v>
      </x:c>
      <x:c r="D13" s="42" t="n">
        <x:f>A13*$B$6/(2*PI()*($B$7/1000))</x:f>
        <x:v>10042.676909098596</x:v>
      </x:c>
      <x:c r="E13" s="42" t="n">
        <x:f>SQRT($B$5^2+D13^2)</x:f>
        <x:v>10042.676909098596</x:v>
      </x:c>
      <x:c r="F13" s="42" t="n">
        <x:f>E13/1000</x:f>
        <x:v>10.042676909098596</x:v>
      </x:c>
      <x:c r="G13" s="42" t="n">
        <x:f>ROUND(E13/'Design Inputs'!$B$5,0)</x:f>
        <x:v>2</x:v>
      </x:c>
    </x:row>
    <x:row r="14">
      <x:c r="A14" s="42" t="n">
        <x:v>2</x:v>
      </x:c>
      <x:c r="B14" s="42" t="str">
        <x:f>IF(MOD(A14,2)=0,"even","odd")</x:f>
        <x:v>even</x:v>
      </x:c>
      <x:c r="C14" s="42" t="str">
        <x:f>IF(OR($B$9="all",$B$9=B14),"YES","NO")</x:f>
        <x:v>YES</x:v>
      </x:c>
      <x:c r="D14" s="42" t="n">
        <x:f>A14*$B$6/(2*PI()*($B$7/1000))</x:f>
        <x:v>20085.353818197193</x:v>
      </x:c>
      <x:c r="E14" s="42" t="n">
        <x:f>SQRT($B$5^2+D14^2)</x:f>
        <x:v>20085.353818197193</x:v>
      </x:c>
      <x:c r="F14" s="42" t="n">
        <x:f>E14/1000</x:f>
        <x:v>20.08535381819719</x:v>
      </x:c>
      <x:c r="G14" s="42" t="n">
        <x:f>ROUND(E14/'Design Inputs'!$B$5,0)</x:f>
        <x:v>5</x:v>
      </x:c>
    </x:row>
    <x:row r="15">
      <x:c r="A15" s="42" t="n">
        <x:v>3</x:v>
      </x:c>
      <x:c r="B15" s="42" t="str">
        <x:f>IF(MOD(A15,2)=0,"even","odd")</x:f>
        <x:v>odd</x:v>
      </x:c>
      <x:c r="C15" s="42" t="str">
        <x:f>IF(OR($B$9="all",$B$9=B15),"YES","NO")</x:f>
        <x:v>YES</x:v>
      </x:c>
      <x:c r="D15" s="42" t="n">
        <x:f>A15*$B$6/(2*PI()*($B$7/1000))</x:f>
        <x:v>30128.030727295787</x:v>
      </x:c>
      <x:c r="E15" s="42" t="n">
        <x:f>SQRT($B$5^2+D15^2)</x:f>
        <x:v>30128.030727295787</x:v>
      </x:c>
      <x:c r="F15" s="42" t="n">
        <x:f>E15/1000</x:f>
        <x:v>30.128030727295787</x:v>
      </x:c>
      <x:c r="G15" s="42" t="n">
        <x:f>ROUND(E15/'Design Inputs'!$B$5,0)</x:f>
        <x:v>7</x:v>
      </x:c>
    </x:row>
    <x:row r="16">
      <x:c r="A16" s="42" t="n">
        <x:v>4</x:v>
      </x:c>
      <x:c r="B16" s="42" t="str">
        <x:f>IF(MOD(A16,2)=0,"even","odd")</x:f>
        <x:v>even</x:v>
      </x:c>
      <x:c r="C16" s="42" t="str">
        <x:f>IF(OR($B$9="all",$B$9=B16),"YES","NO")</x:f>
        <x:v>YES</x:v>
      </x:c>
      <x:c r="D16" s="42" t="n">
        <x:f>A16*$B$6/(2*PI()*($B$7/1000))</x:f>
        <x:v>40170.707636394385</x:v>
      </x:c>
      <x:c r="E16" s="42" t="n">
        <x:f>SQRT($B$5^2+D16^2)</x:f>
        <x:v>40170.707636394385</x:v>
      </x:c>
      <x:c r="F16" s="42" t="n">
        <x:f>E16/1000</x:f>
        <x:v>40.17070763639438</x:v>
      </x:c>
      <x:c r="G16" s="42" t="n">
        <x:f>ROUND(E16/'Design Inputs'!$B$5,0)</x:f>
        <x:v>10</x:v>
      </x:c>
    </x:row>
    <x:row r="17">
      <x:c r="A17" s="42" t="n">
        <x:v>5</x:v>
      </x:c>
      <x:c r="B17" s="42" t="str">
        <x:f>IF(MOD(A17,2)=0,"even","odd")</x:f>
        <x:v>odd</x:v>
      </x:c>
      <x:c r="C17" s="42" t="str">
        <x:f>IF(OR($B$9="all",$B$9=B17),"YES","NO")</x:f>
        <x:v>YES</x:v>
      </x:c>
      <x:c r="D17" s="42" t="n">
        <x:f>A17*$B$6/(2*PI()*($B$7/1000))</x:f>
        <x:v>50213.38454549298</x:v>
      </x:c>
      <x:c r="E17" s="42" t="n">
        <x:f>SQRT($B$5^2+D17^2)</x:f>
        <x:v>50213.38454549298</x:v>
      </x:c>
      <x:c r="F17" s="42" t="n">
        <x:f>E17/1000</x:f>
        <x:v>50.213384545492985</x:v>
      </x:c>
      <x:c r="G17" s="42" t="n">
        <x:f>ROUND(E17/'Design Inputs'!$B$5,0)</x:f>
        <x:v>12</x:v>
      </x:c>
    </x:row>
    <x:row r="18">
      <x:c r="A18" s="42" t="n">
        <x:v>6</x:v>
      </x:c>
      <x:c r="B18" s="42" t="str">
        <x:f>IF(MOD(A18,2)=0,"even","odd")</x:f>
        <x:v>even</x:v>
      </x:c>
      <x:c r="C18" s="42" t="str">
        <x:f>IF(OR($B$9="all",$B$9=B18),"YES","NO")</x:f>
        <x:v>YES</x:v>
      </x:c>
      <x:c r="D18" s="42" t="n">
        <x:f>A18*$B$6/(2*PI()*($B$7/1000))</x:f>
        <x:v>60256.061454591574</x:v>
      </x:c>
      <x:c r="E18" s="42" t="n">
        <x:f>SQRT($B$5^2+D18^2)</x:f>
        <x:v>60256.061454591574</x:v>
      </x:c>
      <x:c r="F18" s="42" t="n">
        <x:f>E18/1000</x:f>
        <x:v>60.256061454591574</x:v>
      </x:c>
      <x:c r="G18" s="42" t="n">
        <x:f>ROUND(E18/'Design Inputs'!$B$5,0)</x:f>
        <x:v>15</x:v>
      </x:c>
    </x:row>
    <x:row r="19">
      <x:c r="A19" s="42" t="n">
        <x:v>7</x:v>
      </x:c>
      <x:c r="B19" s="42" t="str">
        <x:f>IF(MOD(A19,2)=0,"even","odd")</x:f>
        <x:v>odd</x:v>
      </x:c>
      <x:c r="C19" s="42" t="str">
        <x:f>IF(OR($B$9="all",$B$9=B19),"YES","NO")</x:f>
        <x:v>YES</x:v>
      </x:c>
      <x:c r="D19" s="42" t="n">
        <x:f>A19*$B$6/(2*PI()*($B$7/1000))</x:f>
        <x:v>70298.73836369018</x:v>
      </x:c>
      <x:c r="E19" s="42" t="n">
        <x:f>SQRT($B$5^2+D19^2)</x:f>
        <x:v>70298.73836369018</x:v>
      </x:c>
      <x:c r="F19" s="42" t="n">
        <x:f>E19/1000</x:f>
        <x:v>70.29873836369018</x:v>
      </x:c>
      <x:c r="G19" s="42" t="n">
        <x:f>ROUND(E19/'Design Inputs'!$B$5,0)</x:f>
        <x:v>17</x:v>
      </x:c>
    </x:row>
    <x:row r="20">
      <x:c r="A20" s="42" t="n">
        <x:v>8</x:v>
      </x:c>
      <x:c r="B20" s="42" t="str">
        <x:f>IF(MOD(A20,2)=0,"even","odd")</x:f>
        <x:v>even</x:v>
      </x:c>
      <x:c r="C20" s="42" t="str">
        <x:f>IF(OR($B$9="all",$B$9=B20),"YES","NO")</x:f>
        <x:v>YES</x:v>
      </x:c>
      <x:c r="D20" s="42" t="n">
        <x:f>A20*$B$6/(2*PI()*($B$7/1000))</x:f>
        <x:v>80341.41527278877</x:v>
      </x:c>
      <x:c r="E20" s="42" t="n">
        <x:f>SQRT($B$5^2+D20^2)</x:f>
        <x:v>80341.41527278877</x:v>
      </x:c>
      <x:c r="F20" s="42" t="n">
        <x:f>E20/1000</x:f>
        <x:v>80.34141527278877</x:v>
      </x:c>
      <x:c r="G20" s="42" t="n">
        <x:f>ROUND(E20/'Design Inputs'!$B$5,0)</x:f>
        <x:v>20</x:v>
      </x:c>
    </x:row>
    <x:row r="21">
      <x:c r="A21" s="42" t="n">
        <x:v>9</x:v>
      </x:c>
      <x:c r="B21" s="42" t="str">
        <x:f>IF(MOD(A21,2)=0,"even","odd")</x:f>
        <x:v>odd</x:v>
      </x:c>
      <x:c r="C21" s="42" t="str">
        <x:f>IF(OR($B$9="all",$B$9=B21),"YES","NO")</x:f>
        <x:v>YES</x:v>
      </x:c>
      <x:c r="D21" s="42" t="n">
        <x:f>A21*$B$6/(2*PI()*($B$7/1000))</x:f>
        <x:v>90384.09218188736</x:v>
      </x:c>
      <x:c r="E21" s="42" t="n">
        <x:f>SQRT($B$5^2+D21^2)</x:f>
        <x:v>90384.09218188736</x:v>
      </x:c>
      <x:c r="F21" s="42" t="n">
        <x:f>E21/1000</x:f>
        <x:v>90.38409218188737</x:v>
      </x:c>
      <x:c r="G21" s="42" t="n">
        <x:f>ROUND(E21/'Design Inputs'!$B$5,0)</x:f>
        <x:v>22</x:v>
      </x:c>
    </x:row>
    <x:row r="22">
      <x:c r="A22" s="42" t="n">
        <x:v>10</x:v>
      </x:c>
      <x:c r="B22" s="42" t="str">
        <x:f>IF(MOD(A22,2)=0,"even","odd")</x:f>
        <x:v>even</x:v>
      </x:c>
      <x:c r="C22" s="42" t="str">
        <x:f>IF(OR($B$9="all",$B$9=B22),"YES","NO")</x:f>
        <x:v>YES</x:v>
      </x:c>
      <x:c r="D22" s="42" t="n">
        <x:f>A22*$B$6/(2*PI()*($B$7/1000))</x:f>
        <x:v>100426.76909098597</x:v>
      </x:c>
      <x:c r="E22" s="42" t="n">
        <x:f>SQRT($B$5^2+D22^2)</x:f>
        <x:v>100426.76909098597</x:v>
      </x:c>
      <x:c r="F22" s="42" t="n">
        <x:f>E22/1000</x:f>
        <x:v>100.42676909098597</x:v>
      </x:c>
      <x:c r="G22" s="42" t="n">
        <x:f>ROUND(E22/'Design Inputs'!$B$5,0)</x:f>
        <x:v>25</x:v>
      </x:c>
    </x:row>
    <x:row r="23">
      <x:c r="A23" s="42" t="n">
        <x:v>11</x:v>
      </x:c>
      <x:c r="B23" s="42" t="str">
        <x:f>IF(MOD(A23,2)=0,"even","odd")</x:f>
        <x:v>odd</x:v>
      </x:c>
      <x:c r="C23" s="42" t="str">
        <x:f>IF(OR($B$9="all",$B$9=B23),"YES","NO")</x:f>
        <x:v>YES</x:v>
      </x:c>
      <x:c r="D23" s="42" t="n">
        <x:f>A23*$B$6/(2*PI()*($B$7/1000))</x:f>
        <x:v>110469.44600008456</x:v>
      </x:c>
      <x:c r="E23" s="42" t="n">
        <x:f>SQRT($B$5^2+D23^2)</x:f>
        <x:v>110469.44600008456</x:v>
      </x:c>
      <x:c r="F23" s="42" t="n">
        <x:f>E23/1000</x:f>
        <x:v>110.46944600008456</x:v>
      </x:c>
      <x:c r="G23" s="42" t="n">
        <x:f>ROUND(E23/'Design Inputs'!$B$5,0)</x:f>
        <x:v>27</x:v>
      </x:c>
    </x:row>
    <x:row r="24">
      <x:c r="A24" s="42" t="n">
        <x:v>12</x:v>
      </x:c>
      <x:c r="B24" s="42" t="str">
        <x:f>IF(MOD(A24,2)=0,"even","odd")</x:f>
        <x:v>even</x:v>
      </x:c>
      <x:c r="C24" s="42" t="str">
        <x:f>IF(OR($B$9="all",$B$9=B24),"YES","NO")</x:f>
        <x:v>YES</x:v>
      </x:c>
      <x:c r="D24" s="42" t="n">
        <x:f>A24*$B$6/(2*PI()*($B$7/1000))</x:f>
        <x:v>120512.12290918315</x:v>
      </x:c>
      <x:c r="E24" s="42" t="n">
        <x:f>SQRT($B$5^2+D24^2)</x:f>
        <x:v>120512.12290918315</x:v>
      </x:c>
      <x:c r="F24" s="42" t="n">
        <x:f>E24/1000</x:f>
        <x:v>120.51212290918315</x:v>
      </x:c>
      <x:c r="G24" s="42" t="n">
        <x:f>ROUND(E24/'Design Inputs'!$B$5,0)</x:f>
        <x:v>29</x:v>
      </x:c>
    </x:row>
    <x:row r="25">
      <x:c r="A25" s="42" t="n">
        <x:v>13</x:v>
      </x:c>
      <x:c r="B25" s="42" t="str">
        <x:f>IF(MOD(A25,2)=0,"even","odd")</x:f>
        <x:v>odd</x:v>
      </x:c>
      <x:c r="C25" s="42" t="str">
        <x:f>IF(OR($B$9="all",$B$9=B25),"YES","NO")</x:f>
        <x:v>YES</x:v>
      </x:c>
      <x:c r="D25" s="42" t="n">
        <x:f>A25*$B$6/(2*PI()*($B$7/1000))</x:f>
        <x:v>130554.79981828175</x:v>
      </x:c>
      <x:c r="E25" s="42" t="n">
        <x:f>SQRT($B$5^2+D25^2)</x:f>
        <x:v>130554.79981828175</x:v>
      </x:c>
      <x:c r="F25" s="42" t="n">
        <x:f>E25/1000</x:f>
        <x:v>130.55479981828177</x:v>
      </x:c>
      <x:c r="G25" s="42" t="n">
        <x:f>ROUND(E25/'Design Inputs'!$B$5,0)</x:f>
        <x:v>32</x:v>
      </x:c>
    </x:row>
    <x:row r="26">
      <x:c r="A26" s="42" t="n">
        <x:v>14</x:v>
      </x:c>
      <x:c r="B26" s="42" t="str">
        <x:f>IF(MOD(A26,2)=0,"even","odd")</x:f>
        <x:v>even</x:v>
      </x:c>
      <x:c r="C26" s="42" t="str">
        <x:f>IF(OR($B$9="all",$B$9=B26),"YES","NO")</x:f>
        <x:v>YES</x:v>
      </x:c>
      <x:c r="D26" s="42" t="n">
        <x:f>A26*$B$6/(2*PI()*($B$7/1000))</x:f>
        <x:v>140597.47672738036</x:v>
      </x:c>
      <x:c r="E26" s="42" t="n">
        <x:f>SQRT($B$5^2+D26^2)</x:f>
        <x:v>140597.47672738036</x:v>
      </x:c>
      <x:c r="F26" s="42" t="n">
        <x:f>E26/1000</x:f>
        <x:v>140.59747672738035</x:v>
      </x:c>
      <x:c r="G26" s="42" t="n">
        <x:f>ROUND(E26/'Design Inputs'!$B$5,0)</x:f>
        <x:v>34</x:v>
      </x:c>
    </x:row>
    <x:row r="27">
      <x:c r="A27" s="42" t="n">
        <x:v>15</x:v>
      </x:c>
      <x:c r="B27" s="42" t="str">
        <x:f>IF(MOD(A27,2)=0,"even","odd")</x:f>
        <x:v>odd</x:v>
      </x:c>
      <x:c r="C27" s="42" t="str">
        <x:f>IF(OR($B$9="all",$B$9=B27),"YES","NO")</x:f>
        <x:v>YES</x:v>
      </x:c>
      <x:c r="D27" s="42" t="n">
        <x:f>A27*$B$6/(2*PI()*($B$7/1000))</x:f>
        <x:v>150640.15363647894</x:v>
      </x:c>
      <x:c r="E27" s="42" t="n">
        <x:f>SQRT($B$5^2+D27^2)</x:f>
        <x:v>150640.15363647894</x:v>
      </x:c>
      <x:c r="F27" s="42" t="n">
        <x:f>E27/1000</x:f>
        <x:v>150.64015363647894</x:v>
      </x:c>
      <x:c r="G27" s="42" t="n">
        <x:f>ROUND(E27/'Design Inputs'!$B$5,0)</x:f>
        <x:v>37</x:v>
      </x:c>
    </x:row>
    <x:row r="28">
      <x:c r="A28" s="42" t="n">
        <x:v>16</x:v>
      </x:c>
      <x:c r="B28" s="42" t="str">
        <x:f>IF(MOD(A28,2)=0,"even","odd")</x:f>
        <x:v>even</x:v>
      </x:c>
      <x:c r="C28" s="42" t="str">
        <x:f>IF(OR($B$9="all",$B$9=B28),"YES","NO")</x:f>
        <x:v>YES</x:v>
      </x:c>
      <x:c r="D28" s="42" t="n">
        <x:f>A28*$B$6/(2*PI()*($B$7/1000))</x:f>
        <x:v>160682.83054557754</x:v>
      </x:c>
      <x:c r="E28" s="42" t="n">
        <x:f>SQRT($B$5^2+D28^2)</x:f>
        <x:v>160682.83054557754</x:v>
      </x:c>
      <x:c r="F28" s="42" t="n">
        <x:f>E28/1000</x:f>
        <x:v>160.68283054557753</x:v>
      </x:c>
      <x:c r="G28" s="42" t="n">
        <x:f>ROUND(E28/'Design Inputs'!$B$5,0)</x:f>
        <x:v>39</x:v>
      </x:c>
    </x:row>
    <x:row r="29">
      <x:c r="A29" s="42" t="n">
        <x:v>17</x:v>
      </x:c>
      <x:c r="B29" s="42" t="str">
        <x:f>IF(MOD(A29,2)=0,"even","odd")</x:f>
        <x:v>odd</x:v>
      </x:c>
      <x:c r="C29" s="42" t="str">
        <x:f>IF(OR($B$9="all",$B$9=B29),"YES","NO")</x:f>
        <x:v>YES</x:v>
      </x:c>
      <x:c r="D29" s="42" t="n">
        <x:f>A29*$B$6/(2*PI()*($B$7/1000))</x:f>
        <x:v>170725.50745467615</x:v>
      </x:c>
      <x:c r="E29" s="42" t="n">
        <x:f>SQRT($B$5^2+D29^2)</x:f>
        <x:v>170725.50745467615</x:v>
      </x:c>
      <x:c r="F29" s="42" t="n">
        <x:f>E29/1000</x:f>
        <x:v>170.72550745467615</x:v>
      </x:c>
      <x:c r="G29" s="42" t="n">
        <x:f>ROUND(E29/'Design Inputs'!$B$5,0)</x:f>
        <x:v>42</x:v>
      </x:c>
    </x:row>
    <x:row r="30">
      <x:c r="A30" s="42" t="n">
        <x:v>18</x:v>
      </x:c>
      <x:c r="B30" s="42" t="str">
        <x:f>IF(MOD(A30,2)=0,"even","odd")</x:f>
        <x:v>even</x:v>
      </x:c>
      <x:c r="C30" s="42" t="str">
        <x:f>IF(OR($B$9="all",$B$9=B30),"YES","NO")</x:f>
        <x:v>YES</x:v>
      </x:c>
      <x:c r="D30" s="42" t="n">
        <x:f>A30*$B$6/(2*PI()*($B$7/1000))</x:f>
        <x:v>180768.18436377472</x:v>
      </x:c>
      <x:c r="E30" s="42" t="n">
        <x:f>SQRT($B$5^2+D30^2)</x:f>
        <x:v>180768.18436377472</x:v>
      </x:c>
      <x:c r="F30" s="42" t="n">
        <x:f>E30/1000</x:f>
        <x:v>180.76818436377474</x:v>
      </x:c>
      <x:c r="G30" s="42" t="n">
        <x:f>ROUND(E30/'Design Inputs'!$B$5,0)</x:f>
        <x:v>44</x:v>
      </x:c>
    </x:row>
    <x:row r="31">
      <x:c r="A31" s="42" t="n">
        <x:v>19</x:v>
      </x:c>
      <x:c r="B31" s="42" t="str">
        <x:f>IF(MOD(A31,2)=0,"even","odd")</x:f>
        <x:v>odd</x:v>
      </x:c>
      <x:c r="C31" s="42" t="str">
        <x:f>IF(OR($B$9="all",$B$9=B31),"YES","NO")</x:f>
        <x:v>YES</x:v>
      </x:c>
      <x:c r="D31" s="42" t="n">
        <x:f>A31*$B$6/(2*PI()*($B$7/1000))</x:f>
        <x:v>190810.86127287333</x:v>
      </x:c>
      <x:c r="E31" s="42" t="n">
        <x:f>SQRT($B$5^2+D31^2)</x:f>
        <x:v>190810.86127287333</x:v>
      </x:c>
      <x:c r="F31" s="42" t="n">
        <x:f>E31/1000</x:f>
        <x:v>190.81086127287332</x:v>
      </x:c>
      <x:c r="G31" s="42" t="n">
        <x:f>ROUND(E31/'Design Inputs'!$B$5,0)</x:f>
        <x:v>47</x:v>
      </x:c>
    </x:row>
    <x:row r="32">
      <x:c r="A32" s="42" t="n">
        <x:v>20</x:v>
      </x:c>
      <x:c r="B32" s="42" t="str">
        <x:f>IF(MOD(A32,2)=0,"even","odd")</x:f>
        <x:v>even</x:v>
      </x:c>
      <x:c r="C32" s="42" t="str">
        <x:f>IF(OR($B$9="all",$B$9=B32),"YES","NO")</x:f>
        <x:v>YES</x:v>
      </x:c>
      <x:c r="D32" s="42" t="n">
        <x:f>A32*$B$6/(2*PI()*($B$7/1000))</x:f>
        <x:v>200853.53818197193</x:v>
      </x:c>
      <x:c r="E32" s="42" t="n">
        <x:f>SQRT($B$5^2+D32^2)</x:f>
        <x:v>200853.53818197193</x:v>
      </x:c>
      <x:c r="F32" s="42" t="n">
        <x:f>E32/1000</x:f>
        <x:v>200.85353818197194</x:v>
      </x:c>
      <x:c r="G32" s="42" t="n">
        <x:f>ROUND(E32/'Design Inputs'!$B$5,0)</x:f>
        <x:v>49</x:v>
      </x:c>
    </x:row>
    <x:row r="33">
      <x:c r="A33" s="42" t="n">
        <x:v>21</x:v>
      </x:c>
      <x:c r="B33" s="42" t="str">
        <x:f>IF(MOD(A33,2)=0,"even","odd")</x:f>
        <x:v>odd</x:v>
      </x:c>
      <x:c r="C33" s="42" t="str">
        <x:f>IF(OR($B$9="all",$B$9=B33),"YES","NO")</x:f>
        <x:v>YES</x:v>
      </x:c>
      <x:c r="D33" s="42" t="n">
        <x:f>A33*$B$6/(2*PI()*($B$7/1000))</x:f>
        <x:v>210896.2150910705</x:v>
      </x:c>
      <x:c r="E33" s="42" t="n">
        <x:f>SQRT($B$5^2+D33^2)</x:f>
        <x:v>210896.2150910705</x:v>
      </x:c>
      <x:c r="F33" s="42" t="n">
        <x:f>E33/1000</x:f>
        <x:v>210.8962150910705</x:v>
      </x:c>
      <x:c r="G33" s="42" t="n">
        <x:f>ROUND(E33/'Design Inputs'!$B$5,0)</x:f>
        <x:v>51</x:v>
      </x:c>
    </x:row>
    <x:row r="34">
      <x:c r="A34" s="42" t="n">
        <x:v>22</x:v>
      </x:c>
      <x:c r="B34" s="42" t="str">
        <x:f>IF(MOD(A34,2)=0,"even","odd")</x:f>
        <x:v>even</x:v>
      </x:c>
      <x:c r="C34" s="42" t="str">
        <x:f>IF(OR($B$9="all",$B$9=B34),"YES","NO")</x:f>
        <x:v>YES</x:v>
      </x:c>
      <x:c r="D34" s="42" t="n">
        <x:f>A34*$B$6/(2*PI()*($B$7/1000))</x:f>
        <x:v>220938.89200016911</x:v>
      </x:c>
      <x:c r="E34" s="42" t="n">
        <x:f>SQRT($B$5^2+D34^2)</x:f>
        <x:v>220938.89200016911</x:v>
      </x:c>
      <x:c r="F34" s="42" t="n">
        <x:f>E34/1000</x:f>
        <x:v>220.93889200016912</x:v>
      </x:c>
      <x:c r="G34" s="42" t="n">
        <x:f>ROUND(E34/'Design Inputs'!$B$5,0)</x:f>
        <x:v>54</x:v>
      </x:c>
    </x:row>
    <x:row r="35">
      <x:c r="A35" s="42" t="n">
        <x:v>23</x:v>
      </x:c>
      <x:c r="B35" s="42" t="str">
        <x:f>IF(MOD(A35,2)=0,"even","odd")</x:f>
        <x:v>odd</x:v>
      </x:c>
      <x:c r="C35" s="42" t="str">
        <x:f>IF(OR($B$9="all",$B$9=B35),"YES","NO")</x:f>
        <x:v>YES</x:v>
      </x:c>
      <x:c r="D35" s="42" t="n">
        <x:f>A35*$B$6/(2*PI()*($B$7/1000))</x:f>
        <x:v>230981.56890926772</x:v>
      </x:c>
      <x:c r="E35" s="42" t="n">
        <x:f>SQRT($B$5^2+D35^2)</x:f>
        <x:v>230981.56890926772</x:v>
      </x:c>
      <x:c r="F35" s="42" t="n">
        <x:f>E35/1000</x:f>
        <x:v>230.9815689092677</x:v>
      </x:c>
      <x:c r="G35" s="42" t="n">
        <x:f>ROUND(E35/'Design Inputs'!$B$5,0)</x:f>
        <x:v>56</x:v>
      </x:c>
    </x:row>
    <x:row r="36">
      <x:c r="A36" s="42" t="n">
        <x:v>24</x:v>
      </x:c>
      <x:c r="B36" s="42" t="str">
        <x:f>IF(MOD(A36,2)=0,"even","odd")</x:f>
        <x:v>even</x:v>
      </x:c>
      <x:c r="C36" s="42" t="str">
        <x:f>IF(OR($B$9="all",$B$9=B36),"YES","NO")</x:f>
        <x:v>YES</x:v>
      </x:c>
      <x:c r="D36" s="42" t="n">
        <x:f>A36*$B$6/(2*PI()*($B$7/1000))</x:f>
        <x:v>241024.2458183663</x:v>
      </x:c>
      <x:c r="E36" s="42" t="n">
        <x:f>SQRT($B$5^2+D36^2)</x:f>
        <x:v>241024.2458183663</x:v>
      </x:c>
      <x:c r="F36" s="42" t="n">
        <x:f>E36/1000</x:f>
        <x:v>241.0242458183663</x:v>
      </x:c>
      <x:c r="G36" s="42" t="n">
        <x:f>ROUND(E36/'Design Inputs'!$B$5,0)</x:f>
        <x:v>59</x:v>
      </x:c>
    </x:row>
    <x:row r="37">
      <x:c r="A37" s="42" t="n">
        <x:v>25</x:v>
      </x:c>
      <x:c r="B37" s="42" t="str">
        <x:f>IF(MOD(A37,2)=0,"even","odd")</x:f>
        <x:v>odd</x:v>
      </x:c>
      <x:c r="C37" s="42" t="str">
        <x:f>IF(OR($B$9="all",$B$9=B37),"YES","NO")</x:f>
        <x:v>YES</x:v>
      </x:c>
      <x:c r="D37" s="42" t="n">
        <x:f>A37*$B$6/(2*PI()*($B$7/1000))</x:f>
        <x:v>251066.9227274649</x:v>
      </x:c>
      <x:c r="E37" s="42" t="n">
        <x:f>SQRT($B$5^2+D37^2)</x:f>
        <x:v>251066.9227274649</x:v>
      </x:c>
      <x:c r="F37" s="42" t="n">
        <x:f>E37/1000</x:f>
        <x:v>251.0669227274649</x:v>
      </x:c>
      <x:c r="G37" s="42" t="n">
        <x:f>ROUND(E37/'Design Inputs'!$B$5,0)</x:f>
        <x:v>61</x:v>
      </x:c>
    </x:row>
    <x:row r="38">
      <x:c r="A38" s="42" t="n">
        <x:v>26</x:v>
      </x:c>
      <x:c r="B38" s="42" t="str">
        <x:f>IF(MOD(A38,2)=0,"even","odd")</x:f>
        <x:v>even</x:v>
      </x:c>
      <x:c r="C38" s="42" t="str">
        <x:f>IF(OR($B$9="all",$B$9=B38),"YES","NO")</x:f>
        <x:v>YES</x:v>
      </x:c>
      <x:c r="D38" s="42" t="n">
        <x:f>A38*$B$6/(2*PI()*($B$7/1000))</x:f>
        <x:v>261109.5996365635</x:v>
      </x:c>
      <x:c r="E38" s="42" t="n">
        <x:f>SQRT($B$5^2+D38^2)</x:f>
        <x:v>261109.5996365635</x:v>
      </x:c>
      <x:c r="F38" s="42" t="n">
        <x:f>E38/1000</x:f>
        <x:v>261.10959963656353</x:v>
      </x:c>
      <x:c r="G38" s="42" t="n">
        <x:f>ROUND(E38/'Design Inputs'!$B$5,0)</x:f>
        <x:v>64</x:v>
      </x:c>
    </x:row>
    <x:row r="39">
      <x:c r="A39" s="42" t="n">
        <x:v>27</x:v>
      </x:c>
      <x:c r="B39" s="42" t="str">
        <x:f>IF(MOD(A39,2)=0,"even","odd")</x:f>
        <x:v>odd</x:v>
      </x:c>
      <x:c r="C39" s="42" t="str">
        <x:f>IF(OR($B$9="all",$B$9=B39),"YES","NO")</x:f>
        <x:v>YES</x:v>
      </x:c>
      <x:c r="D39" s="42" t="n">
        <x:f>A39*$B$6/(2*PI()*($B$7/1000))</x:f>
        <x:v>271152.2765456621</x:v>
      </x:c>
      <x:c r="E39" s="42" t="n">
        <x:f>SQRT($B$5^2+D39^2)</x:f>
        <x:v>271152.2765456621</x:v>
      </x:c>
      <x:c r="F39" s="42" t="n">
        <x:f>E39/1000</x:f>
        <x:v>271.15227654566206</x:v>
      </x:c>
      <x:c r="G39" s="42" t="n">
        <x:f>ROUND(E39/'Design Inputs'!$B$5,0)</x:f>
        <x:v>66</x:v>
      </x:c>
    </x:row>
    <x:row r="40">
      <x:c r="A40" s="42" t="n">
        <x:v>28</x:v>
      </x:c>
      <x:c r="B40" s="42" t="str">
        <x:f>IF(MOD(A40,2)=0,"even","odd")</x:f>
        <x:v>even</x:v>
      </x:c>
      <x:c r="C40" s="42" t="str">
        <x:f>IF(OR($B$9="all",$B$9=B40),"YES","NO")</x:f>
        <x:v>YES</x:v>
      </x:c>
      <x:c r="D40" s="42" t="n">
        <x:f>A40*$B$6/(2*PI()*($B$7/1000))</x:f>
        <x:v>281194.9534547607</x:v>
      </x:c>
      <x:c r="E40" s="42" t="n">
        <x:f>SQRT($B$5^2+D40^2)</x:f>
        <x:v>281194.9534547607</x:v>
      </x:c>
      <x:c r="F40" s="42" t="n">
        <x:f>E40/1000</x:f>
        <x:v>281.1949534547607</x:v>
      </x:c>
      <x:c r="G40" s="42" t="n">
        <x:f>ROUND(E40/'Design Inputs'!$B$5,0)</x:f>
        <x:v>69</x:v>
      </x:c>
    </x:row>
    <x:row r="41">
      <x:c r="A41" s="42" t="n">
        <x:v>29</x:v>
      </x:c>
      <x:c r="B41" s="42" t="str">
        <x:f>IF(MOD(A41,2)=0,"even","odd")</x:f>
        <x:v>odd</x:v>
      </x:c>
      <x:c r="C41" s="42" t="str">
        <x:f>IF(OR($B$9="all",$B$9=B41),"YES","NO")</x:f>
        <x:v>YES</x:v>
      </x:c>
      <x:c r="D41" s="42" t="n">
        <x:f>A41*$B$6/(2*PI()*($B$7/1000))</x:f>
        <x:v>291237.6303638593</x:v>
      </x:c>
      <x:c r="E41" s="42" t="n">
        <x:f>SQRT($B$5^2+D41^2)</x:f>
        <x:v>291237.6303638593</x:v>
      </x:c>
      <x:c r="F41" s="42" t="n">
        <x:f>E41/1000</x:f>
        <x:v>291.2376303638593</x:v>
      </x:c>
      <x:c r="G41" s="42" t="n">
        <x:f>ROUND(E41/'Design Inputs'!$B$5,0)</x:f>
        <x:v>71</x:v>
      </x:c>
    </x:row>
    <x:row r="42">
      <x:c r="A42" s="42" t="n">
        <x:v>30</x:v>
      </x:c>
      <x:c r="B42" s="42" t="str">
        <x:f>IF(MOD(A42,2)=0,"even","odd")</x:f>
        <x:v>even</x:v>
      </x:c>
      <x:c r="C42" s="42" t="str">
        <x:f>IF(OR($B$9="all",$B$9=B42),"YES","NO")</x:f>
        <x:v>YES</x:v>
      </x:c>
      <x:c r="D42" s="42" t="n">
        <x:f>A42*$B$6/(2*PI()*($B$7/1000))</x:f>
        <x:v>301280.30727295787</x:v>
      </x:c>
      <x:c r="E42" s="42" t="n">
        <x:f>SQRT($B$5^2+D42^2)</x:f>
        <x:v>301280.30727295787</x:v>
      </x:c>
      <x:c r="F42" s="42" t="n">
        <x:f>E42/1000</x:f>
        <x:v>301.2803072729579</x:v>
      </x:c>
      <x:c r="G42" s="42" t="n">
        <x:f>ROUND(E42/'Design Inputs'!$B$5,0)</x:f>
        <x:v>74</x:v>
      </x:c>
    </x:row>
    <x:row r="43">
      <x:c r="A43" s="42" t="n">
        <x:v>31</x:v>
      </x:c>
      <x:c r="B43" s="42" t="str">
        <x:f>IF(MOD(A43,2)=0,"even","odd")</x:f>
        <x:v>odd</x:v>
      </x:c>
      <x:c r="C43" s="42" t="str">
        <x:f>IF(OR($B$9="all",$B$9=B43),"YES","NO")</x:f>
        <x:v>YES</x:v>
      </x:c>
      <x:c r="D43" s="42" t="n">
        <x:f>A43*$B$6/(2*PI()*($B$7/1000))</x:f>
        <x:v>311322.9841820565</x:v>
      </x:c>
      <x:c r="E43" s="42" t="n">
        <x:f>SQRT($B$5^2+D43^2)</x:f>
        <x:v>311322.9841820565</x:v>
      </x:c>
      <x:c r="F43" s="42" t="n">
        <x:f>E43/1000</x:f>
        <x:v>311.32298418205653</x:v>
      </x:c>
      <x:c r="G43" s="42" t="n">
        <x:f>ROUND(E43/'Design Inputs'!$B$5,0)</x:f>
        <x:v>76</x:v>
      </x:c>
    </x:row>
    <x:row r="44">
      <x:c r="A44" s="42" t="n">
        <x:v>32</x:v>
      </x:c>
      <x:c r="B44" s="42" t="str">
        <x:f>IF(MOD(A44,2)=0,"even","odd")</x:f>
        <x:v>even</x:v>
      </x:c>
      <x:c r="C44" s="42" t="str">
        <x:f>IF(OR($B$9="all",$B$9=B44),"YES","NO")</x:f>
        <x:v>YES</x:v>
      </x:c>
      <x:c r="D44" s="42" t="n">
        <x:f>A44*$B$6/(2*PI()*($B$7/1000))</x:f>
        <x:v>321365.6610911551</x:v>
      </x:c>
      <x:c r="E44" s="42" t="n">
        <x:f>SQRT($B$5^2+D44^2)</x:f>
        <x:v>321365.6610911551</x:v>
      </x:c>
      <x:c r="F44" s="42" t="n">
        <x:f>E44/1000</x:f>
        <x:v>321.36566109115506</x:v>
      </x:c>
      <x:c r="G44" s="42" t="n">
        <x:f>ROUND(E44/'Design Inputs'!$B$5,0)</x:f>
        <x:v>78</x:v>
      </x:c>
    </x:row>
  </x:sheetData>
  <x:mergeCells>
    <x:mergeCell ref="A1:J1"/>
    <x:mergeCell ref="A2:J2"/>
    <x:mergeCell ref="A4:B4"/>
    <x:mergeCell ref="A11:G11"/>
  </x:mergeCells>
  <x:pageMargins left="0.7" right="0.7" top="0.75" bottom="0.75" header="0.3" footer="0.3"/>
  <x:drawing xmlns:r="http://schemas.openxmlformats.org/officeDocument/2006/relationships" r:id="Rbfbd6f7a448c46a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4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Dimensionless Resonance Offset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Paper-inspired squared offset between a mediator-like mode and p times a matter-like mode.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Linked inputs</x:v>
      </x:c>
      <x:c r="B4" s="13"/>
    </x:row>
    <x:row r="5">
      <x:c r="A5" t="str">
        <x:v>Mediator-like frequency fm (Hz)</x:v>
      </x:c>
      <x:c r="B5" s="35" t="n">
        <x:f>'Design Inputs'!B23</x:f>
        <x:v>40960</x:v>
      </x:c>
    </x:row>
    <x:row r="6">
      <x:c r="A6" t="str">
        <x:v>Matter-like frequency fx (Hz)</x:v>
      </x:c>
      <x:c r="B6" s="35" t="n">
        <x:f>'Design Inputs'!B24</x:f>
        <x:v>20480</x:v>
      </x:c>
    </x:row>
    <x:row r="7">
      <x:c r="A7" t="str">
        <x:v>Pair multiple p</x:v>
      </x:c>
      <x:c r="B7" s="35" t="n">
        <x:f>'Design Inputs'!B22</x:f>
        <x:v>2</x:v>
      </x:c>
    </x:row>
    <x:row r="9" ht="20" customHeight="1">
      <x:c r="A9" s="13" t="str">
        <x:v>Calculated resonance state</x:v>
      </x:c>
      <x:c r="B9" s="13"/>
    </x:row>
    <x:row r="10">
      <x:c r="A10" t="str">
        <x:v>Reference pair frequency p fx (Hz)</x:v>
      </x:c>
      <x:c r="B10" s="35" t="n">
        <x:f>B6*B7</x:f>
        <x:v>40960</x:v>
      </x:c>
    </x:row>
    <x:row r="11">
      <x:c r="A11" t="str">
        <x:v>Squared mediator term</x:v>
      </x:c>
      <x:c r="B11" s="35" t="n">
        <x:f>B5^2</x:f>
        <x:v>1677721600</x:v>
      </x:c>
    </x:row>
    <x:row r="12">
      <x:c r="A12" t="str">
        <x:v>Squared pair term</x:v>
      </x:c>
      <x:c r="B12" s="35" t="n">
        <x:f>B10^2</x:f>
        <x:v>1677721600</x:v>
      </x:c>
    </x:row>
    <x:row r="13">
      <x:c r="A13" t="str">
        <x:v>epsilon_R</x:v>
      </x:c>
      <x:c r="B13" s="35" t="n">
        <x:f>(B11-B12)/B12</x:f>
        <x:v>0</x:v>
      </x:c>
    </x:row>
    <x:row r="14">
      <x:c r="A14" t="str">
        <x:v>Absolute epsilon_R</x:v>
      </x:c>
      <x:c r="B14" s="35" t="n">
        <x:f>ABS(B13)</x:f>
        <x:v>0</x:v>
      </x:c>
    </x:row>
    <x:row r="15">
      <x:c r="A15" t="str">
        <x:v>Linear detuning fraction</x:v>
      </x:c>
      <x:c r="B15" s="35" t="n">
        <x:f>B5/B10-1</x:f>
        <x:v>0</x:v>
      </x:c>
    </x:row>
    <x:row r="16">
      <x:c r="A16" t="str">
        <x:v>Detuning (Hz)</x:v>
      </x:c>
      <x:c r="B16" s="35" t="n">
        <x:f>B5-B10</x:f>
        <x:v>0</x:v>
      </x:c>
    </x:row>
    <x:row r="17">
      <x:c r="A17" t="str">
        <x:v>Resonance class</x:v>
      </x:c>
      <x:c r="B17" s="35" t="str">
        <x:f>IF(B14&lt;1E-4,"VERY CLOSE",IF(B14&lt;0.01,"CLOSE",IF(B14&lt;0.1,"MODERATE","WIDE")))</x:f>
        <x:v>VERY CLOSE</x:v>
      </x:c>
    </x:row>
    <x:row r="18">
      <x:c r="A18" t="str">
        <x:v>Recommended sweep span (Hz)</x:v>
      </x:c>
      <x:c r="B18" s="35" t="n">
        <x:f>MAX(10,ABS(B16)*4)</x:f>
        <x:v>10</x:v>
      </x:c>
    </x:row>
  </x:sheetData>
  <x:mergeCells>
    <x:mergeCell ref="A1:J1"/>
    <x:mergeCell ref="A2:J2"/>
    <x:mergeCell ref="A4:B4"/>
    <x:mergeCell ref="A9:B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4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Two-Mode Coupling and Avoided Crossing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Hybrid eigenfrequencies from a 2x2 coupled-mode matrix.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Linked inputs</x:v>
      </x:c>
      <x:c r="B4" s="13"/>
    </x:row>
    <x:row r="5">
      <x:c r="A5" t="str">
        <x:v>Mode A fA (Hz)</x:v>
      </x:c>
      <x:c r="B5" s="35" t="n">
        <x:f>'Design Inputs'!B27</x:f>
        <x:v>20480</x:v>
      </x:c>
    </x:row>
    <x:row r="6">
      <x:c r="A6" t="str">
        <x:v>Mode B fB (Hz)</x:v>
      </x:c>
      <x:c r="B6" s="35" t="n">
        <x:f>'Design Inputs'!B28</x:f>
        <x:v>20460</x:v>
      </x:c>
    </x:row>
    <x:row r="7">
      <x:c r="A7" t="str">
        <x:v>Coupling g (Hz)</x:v>
      </x:c>
      <x:c r="B7" s="35" t="n">
        <x:f>'Design Inputs'!B29</x:f>
        <x:v>25</x:v>
      </x:c>
    </x:row>
    <x:row r="8">
      <x:c r="A8" t="str">
        <x:v>Q A</x:v>
      </x:c>
      <x:c r="B8" s="35" t="n">
        <x:f>'Design Inputs'!B30</x:f>
        <x:v>1000</x:v>
      </x:c>
    </x:row>
    <x:row r="9">
      <x:c r="A9" t="str">
        <x:v>Q B</x:v>
      </x:c>
      <x:c r="B9" s="35" t="n">
        <x:f>'Design Inputs'!B31</x:f>
        <x:v>800</x:v>
      </x:c>
    </x:row>
    <x:row r="11" ht="20" customHeight="1">
      <x:c r="A11" s="13" t="str">
        <x:v>Eigenvalue solution</x:v>
      </x:c>
      <x:c r="B11" s="13"/>
    </x:row>
    <x:row r="12">
      <x:c r="A12" t="str">
        <x:v>Mean frequency (Hz)</x:v>
      </x:c>
      <x:c r="B12" s="35" t="n">
        <x:f>(B5+B6)/2</x:f>
        <x:v>20470</x:v>
      </x:c>
    </x:row>
    <x:row r="13">
      <x:c r="A13" t="str">
        <x:v>Half detuning (Hz)</x:v>
      </x:c>
      <x:c r="B13" s="35" t="n">
        <x:f>(B5-B6)/2</x:f>
        <x:v>10</x:v>
      </x:c>
    </x:row>
    <x:row r="14">
      <x:c r="A14" t="str">
        <x:v>Square-root splitting term (Hz)</x:v>
      </x:c>
      <x:c r="B14" s="35" t="n">
        <x:f>SQRT(B13^2+B7^2)</x:f>
        <x:v>26.92582403567252</x:v>
      </x:c>
    </x:row>
    <x:row r="15">
      <x:c r="A15" t="str">
        <x:v>Lower hybrid (Hz)</x:v>
      </x:c>
      <x:c r="B15" s="35" t="n">
        <x:f>B12-B14</x:f>
        <x:v>20443.074175964328</x:v>
      </x:c>
    </x:row>
    <x:row r="16">
      <x:c r="A16" t="str">
        <x:v>Upper hybrid (Hz)</x:v>
      </x:c>
      <x:c r="B16" s="35" t="n">
        <x:f>B12+B14</x:f>
        <x:v>20496.925824035672</x:v>
      </x:c>
    </x:row>
    <x:row r="17">
      <x:c r="A17" t="str">
        <x:v>Total splitting (Hz)</x:v>
      </x:c>
      <x:c r="B17" s="35" t="n">
        <x:f>B16-B15</x:f>
        <x:v>53.85164807134424</x:v>
      </x:c>
    </x:row>
    <x:row r="18">
      <x:c r="A18" t="str">
        <x:v>Mixing angle (deg)</x:v>
      </x:c>
      <x:c r="B18" s="35" t="n">
        <x:f>DEGREES(0.5*ATAN2(2*B7,B5-B6))</x:f>
        <x:v>34.09929525682409</x:v>
      </x:c>
    </x:row>
    <x:row r="19">
      <x:c r="A19" t="str">
        <x:v>Linewidth A (Hz)</x:v>
      </x:c>
      <x:c r="B19" s="35" t="n">
        <x:f>B5/B8</x:f>
        <x:v>20.48</x:v>
      </x:c>
    </x:row>
    <x:row r="20">
      <x:c r="A20" t="str">
        <x:v>Linewidth B (Hz)</x:v>
      </x:c>
      <x:c r="B20" s="35" t="n">
        <x:f>B6/B9</x:f>
        <x:v>25.575</x:v>
      </x:c>
    </x:row>
    <x:row r="21">
      <x:c r="A21" t="str">
        <x:v>Strong-coupling ratio</x:v>
      </x:c>
      <x:c r="B21" s="35" t="n">
        <x:f>2*B7/(B19+B20)</x:f>
        <x:v>1.0856584518510477</x:v>
      </x:c>
    </x:row>
    <x:row r="22">
      <x:c r="A22" t="str">
        <x:v>Coupling regime</x:v>
      </x:c>
      <x:c r="B22" s="35" t="str">
        <x:f>IF(B21&gt;=1,"RESOLVED / STRONG","UNRESOLVED / WEAK")</x:f>
        <x:v>RESOLVED / STRONG</x:v>
      </x:c>
    </x:row>
    <x:row r="24" ht="20" customHeight="1">
      <x:c r="D24" s="13" t="str">
        <x:v>Coupling sweep</x:v>
      </x:c>
      <x:c r="E24" s="13"/>
      <x:c r="F24" s="13"/>
      <x:c r="G24" s="13"/>
      <x:c r="H24" s="13"/>
      <x:c r="I24" s="13"/>
      <x:c r="J24" s="13"/>
    </x:row>
    <x:row r="25" ht="30" customHeight="1">
      <x:c r="D25" s="20" t="str">
        <x:v>g (Hz)</x:v>
      </x:c>
      <x:c r="E25" s="20" t="str">
        <x:v>Lower</x:v>
      </x:c>
      <x:c r="F25" s="20" t="str">
        <x:v>Upper</x:v>
      </x:c>
      <x:c r="G25" s="20" t="str">
        <x:v>Splitting</x:v>
      </x:c>
      <x:c r="H25" s="20" t="str">
        <x:v>Mix angle</x:v>
      </x:c>
      <x:c r="I25" s="20" t="str">
        <x:v>Strong ratio</x:v>
      </x:c>
      <x:c r="J25" s="20" t="str">
        <x:v>Status</x:v>
      </x:c>
    </x:row>
    <x:row r="26">
      <x:c r="D26" s="42" t="n">
        <x:v>0</x:v>
      </x:c>
      <x:c r="E26" s="42" t="n">
        <x:f>$B$12-SQRT($B$13^2+D26^2)</x:f>
        <x:v>20460</x:v>
      </x:c>
      <x:c r="F26" s="42" t="n">
        <x:f>$B$12+SQRT($B$13^2+D26^2)</x:f>
        <x:v>20480</x:v>
      </x:c>
      <x:c r="G26" s="42" t="n">
        <x:f>F26-E26</x:f>
        <x:v>20</x:v>
      </x:c>
      <x:c r="H26" s="42" t="n">
        <x:f>DEGREES(0.5*ATAN2(2*D26,$B$5-$B$6))</x:f>
        <x:v>0</x:v>
      </x:c>
      <x:c r="I26" s="42" t="n">
        <x:f>2*D26/($B$19+$B$20)</x:f>
        <x:v>0</x:v>
      </x:c>
      <x:c r="J26" s="42" t="str">
        <x:f>IF(I26&gt;=1,"resolved","weak")</x:f>
        <x:v>weak</x:v>
      </x:c>
    </x:row>
    <x:row r="27">
      <x:c r="D27" s="42" t="n">
        <x:v>1</x:v>
      </x:c>
      <x:c r="E27" s="42" t="n">
        <x:f>$B$12-SQRT($B$13^2+D27^2)</x:f>
        <x:v>20459.95012437888</x:v>
      </x:c>
      <x:c r="F27" s="42" t="n">
        <x:f>$B$12+SQRT($B$13^2+D27^2)</x:f>
        <x:v>20480.04987562112</x:v>
      </x:c>
      <x:c r="G27" s="42" t="n">
        <x:f>F27-E27</x:f>
        <x:v>20.099751242240018</x:v>
      </x:c>
      <x:c r="H27" s="42" t="n">
        <x:f>DEGREES(0.5*ATAN2(2*D27,$B$5-$B$6))</x:f>
        <x:v>2.855296568749821</x:v>
      </x:c>
      <x:c r="I27" s="42" t="n">
        <x:f>2*D27/($B$19+$B$20)</x:f>
        <x:v>0.043426338074041906</x:v>
      </x:c>
      <x:c r="J27" s="42" t="str">
        <x:f>IF(I27&gt;=1,"resolved","weak")</x:f>
        <x:v>weak</x:v>
      </x:c>
    </x:row>
    <x:row r="28">
      <x:c r="D28" s="42" t="n">
        <x:v>5</x:v>
      </x:c>
      <x:c r="E28" s="42" t="n">
        <x:f>$B$12-SQRT($B$13^2+D28^2)</x:f>
        <x:v>20458.819660112502</x:v>
      </x:c>
      <x:c r="F28" s="42" t="n">
        <x:f>$B$12+SQRT($B$13^2+D28^2)</x:f>
        <x:v>20481.180339887498</x:v>
      </x:c>
      <x:c r="G28" s="42" t="n">
        <x:f>F28-E28</x:f>
        <x:v>22.360679774996242</x:v>
      </x:c>
      <x:c r="H28" s="42" t="n">
        <x:f>DEGREES(0.5*ATAN2(2*D28,$B$5-$B$6))</x:f>
        <x:v>13.282525588538995</x:v>
      </x:c>
      <x:c r="I28" s="42" t="n">
        <x:f>2*D28/($B$19+$B$20)</x:f>
        <x:v>0.21713169037020955</x:v>
      </x:c>
      <x:c r="J28" s="42" t="str">
        <x:f>IF(I28&gt;=1,"resolved","weak")</x:f>
        <x:v>weak</x:v>
      </x:c>
    </x:row>
    <x:row r="29">
      <x:c r="D29" s="42" t="n">
        <x:v>10</x:v>
      </x:c>
      <x:c r="E29" s="42" t="n">
        <x:f>$B$12-SQRT($B$13^2+D29^2)</x:f>
        <x:v>20455.85786437627</x:v>
      </x:c>
      <x:c r="F29" s="42" t="n">
        <x:f>$B$12+SQRT($B$13^2+D29^2)</x:f>
        <x:v>20484.14213562373</x:v>
      </x:c>
      <x:c r="G29" s="42" t="n">
        <x:f>F29-E29</x:f>
        <x:v>28.2842712474594</x:v>
      </x:c>
      <x:c r="H29" s="42" t="n">
        <x:f>DEGREES(0.5*ATAN2(2*D29,$B$5-$B$6))</x:f>
        <x:v>22.5</x:v>
      </x:c>
      <x:c r="I29" s="42" t="n">
        <x:f>2*D29/($B$19+$B$20)</x:f>
        <x:v>0.4342633807404191</x:v>
      </x:c>
      <x:c r="J29" s="42" t="str">
        <x:f>IF(I29&gt;=1,"resolved","weak")</x:f>
        <x:v>weak</x:v>
      </x:c>
    </x:row>
    <x:row r="30">
      <x:c r="D30" s="42" t="n">
        <x:v>25</x:v>
      </x:c>
      <x:c r="E30" s="42" t="n">
        <x:f>$B$12-SQRT($B$13^2+D30^2)</x:f>
        <x:v>20443.074175964328</x:v>
      </x:c>
      <x:c r="F30" s="42" t="n">
        <x:f>$B$12+SQRT($B$13^2+D30^2)</x:f>
        <x:v>20496.925824035672</x:v>
      </x:c>
      <x:c r="G30" s="42" t="n">
        <x:f>F30-E30</x:f>
        <x:v>53.85164807134424</x:v>
      </x:c>
      <x:c r="H30" s="42" t="n">
        <x:f>DEGREES(0.5*ATAN2(2*D30,$B$5-$B$6))</x:f>
        <x:v>34.09929525682409</x:v>
      </x:c>
      <x:c r="I30" s="42" t="n">
        <x:f>2*D30/($B$19+$B$20)</x:f>
        <x:v>1.0856584518510477</x:v>
      </x:c>
      <x:c r="J30" s="42" t="str">
        <x:f>IF(I30&gt;=1,"resolved","weak")</x:f>
        <x:v>resolved</x:v>
      </x:c>
    </x:row>
    <x:row r="31">
      <x:c r="D31" s="42" t="n">
        <x:v>50</x:v>
      </x:c>
      <x:c r="E31" s="42" t="n">
        <x:f>$B$12-SQRT($B$13^2+D31^2)</x:f>
        <x:v>20419.009804864072</x:v>
      </x:c>
      <x:c r="F31" s="42" t="n">
        <x:f>$B$12+SQRT($B$13^2+D31^2)</x:f>
        <x:v>20520.990195135928</x:v>
      </x:c>
      <x:c r="G31" s="42" t="n">
        <x:f>F31-E31</x:f>
        <x:v>101.98039027185587</x:v>
      </x:c>
      <x:c r="H31" s="42" t="n">
        <x:f>DEGREES(0.5*ATAN2(2*D31,$B$5-$B$6))</x:f>
        <x:v>39.34503376298989</x:v>
      </x:c>
      <x:c r="I31" s="42" t="n">
        <x:f>2*D31/($B$19+$B$20)</x:f>
        <x:v>2.1713169037020954</x:v>
      </x:c>
      <x:c r="J31" s="42" t="str">
        <x:f>IF(I31&gt;=1,"resolved","weak")</x:f>
        <x:v>resolved</x:v>
      </x:c>
    </x:row>
    <x:row r="32">
      <x:c r="D32" s="42" t="n">
        <x:v>100</x:v>
      </x:c>
      <x:c r="E32" s="42" t="n">
        <x:f>$B$12-SQRT($B$13^2+D32^2)</x:f>
        <x:v>20369.501243788793</x:v>
      </x:c>
      <x:c r="F32" s="42" t="n">
        <x:f>$B$12+SQRT($B$13^2+D32^2)</x:f>
        <x:v>20570.498756211207</x:v>
      </x:c>
      <x:c r="G32" s="42" t="n">
        <x:f>F32-E32</x:f>
        <x:v>200.99751242241473</x:v>
      </x:c>
      <x:c r="H32" s="42" t="n">
        <x:f>DEGREES(0.5*ATAN2(2*D32,$B$5-$B$6))</x:f>
        <x:v>42.144703431250186</x:v>
      </x:c>
      <x:c r="I32" s="42" t="n">
        <x:f>2*D32/($B$19+$B$20)</x:f>
        <x:v>4.342633807404191</x:v>
      </x:c>
      <x:c r="J32" s="42" t="str">
        <x:f>IF(I32&gt;=1,"resolved","weak")</x:f>
        <x:v>resolved</x:v>
      </x:c>
    </x:row>
    <x:row r="33">
      <x:c r="D33" s="42" t="n">
        <x:v>250</x:v>
      </x:c>
      <x:c r="E33" s="42" t="n">
        <x:f>$B$12-SQRT($B$13^2+D33^2)</x:f>
        <x:v>20219.800079936063</x:v>
      </x:c>
      <x:c r="F33" s="42" t="n">
        <x:f>$B$12+SQRT($B$13^2+D33^2)</x:f>
        <x:v>20720.199920063937</x:v>
      </x:c>
      <x:c r="G33" s="42" t="n">
        <x:f>F33-E33</x:f>
        <x:v>500.3998401278732</x:v>
      </x:c>
      <x:c r="H33" s="42" t="n">
        <x:f>DEGREES(0.5*ATAN2(2*D33,$B$5-$B$6))</x:f>
        <x:v>43.85469497868073</x:v>
      </x:c>
      <x:c r="I33" s="42" t="n">
        <x:f>2*D33/($B$19+$B$20)</x:f>
        <x:v>10.856584518510477</x:v>
      </x:c>
      <x:c r="J33" s="42" t="str">
        <x:f>IF(I33&gt;=1,"resolved","weak")</x:f>
        <x:v>resolved</x:v>
      </x:c>
    </x:row>
  </x:sheetData>
  <x:mergeCells>
    <x:mergeCell ref="A1:J1"/>
    <x:mergeCell ref="A2:J2"/>
    <x:mergeCell ref="A4:B4"/>
    <x:mergeCell ref="A11:B11"/>
    <x:mergeCell ref="D24:J24"/>
  </x:mergeCells>
  <x:pageMargins left="0.7" right="0.7" top="0.75" bottom="0.75" header="0.3" footer="0.3"/>
  <x:drawing xmlns:r="http://schemas.openxmlformats.org/officeDocument/2006/relationships" r:id="Ra6fecbfc748f4064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4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Scale-Rotation Spiral and Compact Phase Coordinate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A 4D path X(theta) projected into 3D, with chi represented as a compact phase coordinate.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Linked inputs</x:v>
      </x:c>
      <x:c r="B4" s="13"/>
    </x:row>
    <x:row r="5">
      <x:c r="A5" t="str">
        <x:v>q per turn</x:v>
      </x:c>
      <x:c r="B5" s="35" t="n">
        <x:f>'Design Inputs'!E5</x:f>
        <x:v>2.718281828459045</x:v>
      </x:c>
    </x:row>
    <x:row r="6">
      <x:c r="A6" t="str">
        <x:v>Turns</x:v>
      </x:c>
      <x:c r="B6" s="35" t="n">
        <x:f>'Design Inputs'!E6</x:f>
        <x:v>4</x:v>
      </x:c>
    </x:row>
    <x:row r="7">
      <x:c r="A7" t="str">
        <x:v>Outer radius (mm)</x:v>
      </x:c>
      <x:c r="B7" s="35" t="n">
        <x:f>'Design Inputs'!E7</x:f>
        <x:v>60</x:v>
      </x:c>
    </x:row>
    <x:row r="8">
      <x:c r="A8" t="str">
        <x:v>Height (mm)</x:v>
      </x:c>
      <x:c r="B8" s="35" t="n">
        <x:f>'Design Inputs'!E8</x:f>
        <x:v>80</x:v>
      </x:c>
    </x:row>
    <x:row r="9">
      <x:c r="A9" t="str">
        <x:v>Cone exponent</x:v>
      </x:c>
      <x:c r="B9" s="35" t="n">
        <x:f>'Design Inputs'!E9</x:f>
        <x:v>1.5</x:v>
      </x:c>
    </x:row>
    <x:row r="10">
      <x:c r="A10" t="str">
        <x:v>Phase cycles / theta</x:v>
      </x:c>
      <x:c r="B10" s="35" t="n">
        <x:f>'Design Inputs'!E10</x:f>
        <x:v>1</x:v>
      </x:c>
    </x:row>
    <x:row r="12" ht="20" customHeight="1">
      <x:c r="A12" s="13" t="str">
        <x:v>Exact and numerical metrics</x:v>
      </x:c>
      <x:c r="B12" s="13"/>
    </x:row>
    <x:row r="13">
      <x:c r="A13" t="str">
        <x:v>a = ln(q)/(2pi)</x:v>
      </x:c>
      <x:c r="B13" s="35" t="n">
        <x:f>LN(B5)/(2*PI())</x:f>
        <x:v>0.15915494309189535</x:v>
      </x:c>
    </x:row>
    <x:row r="14">
      <x:c r="A14" t="str">
        <x:v>Eigenvalue real part</x:v>
      </x:c>
      <x:c r="B14" s="35" t="n">
        <x:f>-B13</x:f>
        <x:v>-0.15915494309189535</x:v>
      </x:c>
    </x:row>
    <x:row r="15">
      <x:c r="A15" t="str">
        <x:v>Eigenvalue imaginary part</x:v>
      </x:c>
      <x:c r="B15" s="35" t="n">
        <x:f>1</x:f>
        <x:v>1</x:v>
      </x:c>
    </x:row>
    <x:row r="16">
      <x:c r="A16" t="str">
        <x:v>Pitch angle (deg)</x:v>
      </x:c>
      <x:c r="B16" s="35" t="n">
        <x:f>DEGREES(ATAN(B13))</x:f>
        <x:v>9.04306107903769</x:v>
      </x:c>
    </x:row>
    <x:row r="17">
      <x:c r="A17" t="str">
        <x:v>Radial scale after one turn</x:v>
      </x:c>
      <x:c r="B17" s="35" t="n">
        <x:f>1/B5</x:f>
        <x:v>0.36787944117144233</x:v>
      </x:c>
    </x:row>
    <x:row r="18">
      <x:c r="A18" t="str">
        <x:v>r*kappa invariant</x:v>
      </x:c>
      <x:c r="B18" s="35" t="n">
        <x:f>1/SQRT(1+B13^2)</x:f>
        <x:v>0.9875704921513918</x:v>
      </x:c>
    </x:row>
    <x:row r="19">
      <x:c r="A19" t="str">
        <x:v>Inner radius after turns (mm)</x:v>
      </x:c>
      <x:c r="B19" s="35" t="n">
        <x:f>B7/B5^B6</x:f>
        <x:v>1.098938333324051</x:v>
      </x:c>
    </x:row>
    <x:row r="20">
      <x:c r="A20" t="str">
        <x:v>Planar log-spiral length (mm)</x:v>
      </x:c>
      <x:c r="B20" s="35" t="n">
        <x:f>B7*SQRT(1+B13^2)/B13*(1-EXP(-B13*2*PI()*B6))</x:f>
        <x:v>374.74417085418935</x:v>
      </x:c>
    </x:row>
    <x:row r="21">
      <x:c r="A21" t="str">
        <x:v>Approx. 3D path correction</x:v>
      </x:c>
      <x:c r="B21" s="35" t="n">
        <x:f>SQRT(1+(B8/B20)^2)</x:f>
        <x:v>1.0225327726188038</x:v>
      </x:c>
    </x:row>
    <x:row r="22">
      <x:c r="A22" t="str">
        <x:v>Approx. 3D path length (mm)</x:v>
      </x:c>
      <x:c r="B22" s="35" t="n">
        <x:f>B20*B21</x:f>
        <x:v>383.18819604626896</x:v>
      </x:c>
    </x:row>
    <x:row r="23">
      <x:c r="A23" t="str">
        <x:v>Effective compact radius (mm)</x:v>
      </x:c>
      <x:c r="B23" s="35" t="n">
        <x:f>B22/(2*PI())</x:f>
        <x:v>60.98629553522997</x:v>
      </x:c>
    </x:row>
    <x:row r="24">
      <x:c r="A24" t="str">
        <x:v>Compact fundamental v/(2piR) (Hz)</x:v>
      </x:c>
      <x:c r="B24" s="35" t="n">
        <x:f>'Design Inputs'!B18/(2*PI()*(B23/1000))</x:f>
        <x:v>16467.1043239497</x:v>
      </x:c>
    </x:row>
    <x:row r="26" ht="20" customHeight="1">
      <x:c r="D26" s="13" t="str">
        <x:v>Per-turn scale table</x:v>
      </x:c>
      <x:c r="E26" s="13"/>
      <x:c r="F26" s="13"/>
      <x:c r="G26" s="13"/>
      <x:c r="H26" s="13"/>
      <x:c r="I26" s="13"/>
      <x:c r="J26" s="13"/>
    </x:row>
    <x:row r="27" ht="30" customHeight="1">
      <x:c r="D27" s="20" t="str">
        <x:v>Turn</x:v>
      </x:c>
      <x:c r="E27" s="20" t="str">
        <x:v>Radius (mm)</x:v>
      </x:c>
      <x:c r="F27" s="20" t="str">
        <x:v>z (mm)</x:v>
      </x:c>
      <x:c r="G27" s="20" t="str">
        <x:v>Frequency scale</x:v>
      </x:c>
      <x:c r="H27" s="20" t="str">
        <x:v>Wavelength scale</x:v>
      </x:c>
      <x:c r="I27" s="20" t="str">
        <x:v>Curvature kappa</x:v>
      </x:c>
      <x:c r="J27" s="20" t="str">
        <x:v>Phase cycles</x:v>
      </x:c>
    </x:row>
    <x:row r="28">
      <x:c r="D28" s="42" t="n">
        <x:v>0</x:v>
      </x:c>
      <x:c r="E28" s="42" t="n">
        <x:f>$B$7/$B$5^D28</x:f>
        <x:v>60</x:v>
      </x:c>
      <x:c r="F28" s="42" t="n">
        <x:f>$B$8*(1-(E28/$B$7)^$B$9)</x:f>
        <x:v>0</x:v>
      </x:c>
      <x:c r="G28" s="42" t="n">
        <x:f>$B$5^D28</x:f>
        <x:v>1</x:v>
      </x:c>
      <x:c r="H28" s="42" t="n">
        <x:f>1/G28</x:f>
        <x:v>1</x:v>
      </x:c>
      <x:c r="I28" s="42" t="n">
        <x:f>1/(E28*SQRT(1+$B$13^2))</x:f>
        <x:v>0.016459508202523197</x:v>
      </x:c>
      <x:c r="J28" s="42" t="n">
        <x:f>D28*$B$10</x:f>
        <x:v>0</x:v>
      </x:c>
    </x:row>
    <x:row r="29">
      <x:c r="D29" s="42" t="n">
        <x:v>1</x:v>
      </x:c>
      <x:c r="E29" s="42" t="n">
        <x:f>$B$7/$B$5^D29</x:f>
        <x:v>22.072766470286542</x:v>
      </x:c>
      <x:c r="F29" s="42" t="n">
        <x:f>$B$8*(1-(E29/$B$7)^$B$9)</x:f>
        <x:v>62.14958718812561</x:v>
      </x:c>
      <x:c r="G29" s="42" t="n">
        <x:f>$B$5^D29</x:f>
        <x:v>2.718281828459045</x:v>
      </x:c>
      <x:c r="H29" s="42" t="n">
        <x:f>1/G29</x:f>
        <x:v>0.36787944117144233</x:v>
      </x:c>
      <x:c r="I29" s="42" t="n">
        <x:f>1/(E29*SQRT(1+$B$13^2))</x:f>
        <x:v>0.04474158205229141</x:v>
      </x:c>
      <x:c r="J29" s="42" t="n">
        <x:f>D29*$B$10</x:f>
        <x:v>1</x:v>
      </x:c>
    </x:row>
    <x:row r="30">
      <x:c r="D30" s="42" t="n">
        <x:v>2</x:v>
      </x:c>
      <x:c r="E30" s="42" t="n">
        <x:f>$B$7/$B$5^D30</x:f>
        <x:v>8.120116994196762</x:v>
      </x:c>
      <x:c r="F30" s="42" t="n">
        <x:f>$B$8*(1-(E30/$B$7)^$B$9)</x:f>
        <x:v>76.01703453057088</x:v>
      </x:c>
      <x:c r="G30" s="42" t="n">
        <x:f>$B$5^D30</x:f>
        <x:v>7.3890560989306495</x:v>
      </x:c>
      <x:c r="H30" s="42" t="n">
        <x:f>1/G30</x:f>
        <x:v>0.1353352832366127</x:v>
      </x:c>
      <x:c r="I30" s="42" t="n">
        <x:f>1/(E30*SQRT(1+$B$13^2))</x:f>
        <x:v>0.12162022946925309</x:v>
      </x:c>
      <x:c r="J30" s="42" t="n">
        <x:f>D30*$B$10</x:f>
        <x:v>2</x:v>
      </x:c>
    </x:row>
    <x:row r="31">
      <x:c r="D31" s="42" t="n">
        <x:v>3</x:v>
      </x:c>
      <x:c r="E31" s="42" t="n">
        <x:f>$B$7/$B$5^D31</x:f>
        <x:v>2.987224102071837</x:v>
      </x:c>
      <x:c r="F31" s="42" t="n">
        <x:f>$B$8*(1-(E31/$B$7)^$B$9)</x:f>
        <x:v>79.11128027694062</x:v>
      </x:c>
      <x:c r="G31" s="42" t="n">
        <x:f>$B$5^D31</x:f>
        <x:v>20.085536923187664</x:v>
      </x:c>
      <x:c r="H31" s="42" t="n">
        <x:f>1/G31</x:f>
        <x:v>0.04978706836786395</x:v>
      </x:c>
      <x:c r="I31" s="42" t="n">
        <x:f>1/(E31*SQRT(1+$B$13^2))</x:f>
        <x:v>0.33059805973928985</x:v>
      </x:c>
      <x:c r="J31" s="42" t="n">
        <x:f>D31*$B$10</x:f>
        <x:v>3</x:v>
      </x:c>
    </x:row>
    <x:row r="32">
      <x:c r="D32" s="42" t="n">
        <x:v>4</x:v>
      </x:c>
      <x:c r="E32" s="42" t="n">
        <x:f>$B$7/$B$5^D32</x:f>
        <x:v>1.098938333324051</x:v>
      </x:c>
      <x:c r="F32" s="42" t="n">
        <x:f>$B$8*(1-(E32/$B$7)^$B$9)</x:f>
        <x:v>79.80169982586669</x:v>
      </x:c>
      <x:c r="G32" s="42" t="n">
        <x:f>$B$5^D32</x:f>
        <x:v>54.59815003314423</x:v>
      </x:c>
      <x:c r="H32" s="42" t="n">
        <x:f>1/G32</x:f>
        <x:v>0.018315638888734182</x:v>
      </x:c>
      <x:c r="I32" s="42" t="n">
        <x:f>1/(E32*SQRT(1+$B$13^2))</x:f>
        <x:v>0.8986586983131297</x:v>
      </x:c>
      <x:c r="J32" s="42" t="n">
        <x:f>D32*$B$10</x:f>
        <x:v>4</x:v>
      </x:c>
    </x:row>
    <x:row r="33">
      <x:c r="D33" s="42" t="n">
        <x:v>5</x:v>
      </x:c>
      <x:c r="E33" s="42" t="n">
        <x:f>$B$7/$B$5^D33</x:f>
        <x:v>0.4042768199451281</x:v>
      </x:c>
      <x:c r="F33" s="42" t="n">
        <x:f>$B$8*(1-(E33/$B$7)^$B$9)</x:f>
        <x:v>79.95575325038817</x:v>
      </x:c>
      <x:c r="G33" s="42" t="n">
        <x:f>$B$5^D33</x:f>
        <x:v>148.41315910257657</x:v>
      </x:c>
      <x:c r="H33" s="42" t="n">
        <x:f>1/G33</x:f>
        <x:v>0.006737946999085469</x:v>
      </x:c>
      <x:c r="I33" s="42" t="n">
        <x:f>1/(E33*SQRT(1+$B$13^2))</x:f>
        <x:v>2.4428076096112394</x:v>
      </x:c>
      <x:c r="J33" s="42" t="n">
        <x:f>D33*$B$10</x:f>
        <x:v>5</x:v>
      </x:c>
    </x:row>
    <x:row r="34">
      <x:c r="D34" s="42" t="n">
        <x:v>6</x:v>
      </x:c>
      <x:c r="E34" s="42" t="n">
        <x:f>$B$7/$B$5^D34</x:f>
        <x:v>0.14872513059998155</x:v>
      </x:c>
      <x:c r="F34" s="42" t="n">
        <x:f>$B$8*(1-(E34/$B$7)^$B$9)</x:f>
        <x:v>79.99012721567307</x:v>
      </x:c>
      <x:c r="G34" s="42" t="n">
        <x:f>$B$5^D34</x:f>
        <x:v>403.428793492735</x:v>
      </x:c>
      <x:c r="H34" s="42" t="n">
        <x:f>1/G34</x:f>
        <x:v>0.0024787521766663594</x:v>
      </x:c>
      <x:c r="I34" s="42" t="n">
        <x:f>1/(E34*SQRT(1+$B$13^2))</x:f>
        <x:v>6.640239535627709</x:v>
      </x:c>
      <x:c r="J34" s="42" t="n">
        <x:f>D34*$B$10</x:f>
        <x:v>6</x:v>
      </x:c>
    </x:row>
    <x:row r="35">
      <x:c r="D35" s="42" t="n">
        <x:v>7</x:v>
      </x:c>
      <x:c r="E35" s="42" t="n">
        <x:f>$B$7/$B$5^D35</x:f>
        <x:v>0.05471291793327099</x:v>
      </x:c>
      <x:c r="F35" s="42" t="n">
        <x:f>$B$8*(1-(E35/$B$7)^$B$9)</x:f>
        <x:v>79.99779708405202</x:v>
      </x:c>
      <x:c r="G35" s="42" t="n">
        <x:f>$B$5^D35</x:f>
        <x:v>1096.6331584284583</x:v>
      </x:c>
      <x:c r="H35" s="42" t="n">
        <x:f>1/G35</x:f>
        <x:v>0.0009118819655545165</x:v>
      </x:c>
      <x:c r="I35" s="42" t="n">
        <x:f>1/(E35*SQRT(1+$B$13^2))</x:f>
        <x:v>18.05004246631213</x:v>
      </x:c>
      <x:c r="J35" s="42" t="n">
        <x:f>D35*$B$10</x:f>
        <x:v>7</x:v>
      </x:c>
    </x:row>
    <x:row r="36">
      <x:c r="D36" s="42" t="n">
        <x:v>8</x:v>
      </x:c>
      <x:c r="E36" s="42" t="n">
        <x:f>$B$7/$B$5^D36</x:f>
        <x:v>0.020127757674150717</x:v>
      </x:c>
      <x:c r="F36" s="42" t="n">
        <x:f>$B$8*(1-(E36/$B$7)^$B$9)</x:f>
        <x:v>79.99950846301174</x:v>
      </x:c>
      <x:c r="G36" s="42" t="n">
        <x:f>$B$5^D36</x:f>
        <x:v>2980.9579870417274</x:v>
      </x:c>
      <x:c r="H36" s="42" t="n">
        <x:f>1/G36</x:f>
        <x:v>0.00033546262790251196</x:v>
      </x:c>
      <x:c r="I36" s="42" t="n">
        <x:f>1/(E36*SQRT(1+$B$13^2))</x:f>
        <x:v>49.065102439090346</x:v>
      </x:c>
      <x:c r="J36" s="42" t="n">
        <x:f>D36*$B$10</x:f>
        <x:v>8</x:v>
      </x:c>
    </x:row>
    <x:row r="37">
      <x:c r="D37" s="42" t="n">
        <x:v>9</x:v>
      </x:c>
      <x:c r="E37" s="42" t="n">
        <x:f>$B$7/$B$5^D37</x:f>
        <x:v>0.007404588245200776</x:v>
      </x:c>
      <x:c r="F37" s="42" t="n">
        <x:f>$B$8*(1-(E37/$B$7)^$B$9)</x:f>
        <x:v>79.99989032327309</x:v>
      </x:c>
      <x:c r="G37" s="42" t="n">
        <x:f>$B$5^D37</x:f>
        <x:v>8103.0839275753815</x:v>
      </x:c>
      <x:c r="H37" s="42" t="n">
        <x:f>1/G37</x:f>
        <x:v>0.0001234098040866796</x:v>
      </x:c>
      <x:c r="I37" s="42" t="n">
        <x:f>1/(E37*SQRT(1+$B$13^2))</x:f>
        <x:v>133.37277637166088</x:v>
      </x:c>
      <x:c r="J37" s="42" t="n">
        <x:f>D37*$B$10</x:f>
        <x:v>9</x:v>
      </x:c>
    </x:row>
    <x:row r="38">
      <x:c r="D38" s="42" t="n">
        <x:v>10</x:v>
      </x:c>
      <x:c r="E38" s="42" t="n">
        <x:f>$B$7/$B$5^D38</x:f>
        <x:v>0.0027239957857490924</x:v>
      </x:c>
      <x:c r="F38" s="42" t="n">
        <x:f>$B$8*(1-(E38/$B$7)^$B$9)</x:f>
        <x:v>79.99997552781436</x:v>
      </x:c>
      <x:c r="G38" s="42" t="n">
        <x:f>$B$5^D38</x:f>
        <x:v>22026.465794806707</x:v>
      </x:c>
      <x:c r="H38" s="42" t="n">
        <x:f>1/G38</x:f>
        <x:v>0.000045399929762484875</x:v>
      </x:c>
      <x:c r="I38" s="42" t="n">
        <x:f>1/(E38*SQRT(1+$B$13^2))</x:f>
        <x:v>362.5447944222176</x:v>
      </x:c>
      <x:c r="J38" s="42" t="n">
        <x:f>D38*$B$10</x:f>
        <x:v>10</x:v>
      </x:c>
    </x:row>
    <x:row r="39">
      <x:c r="D39" s="42" t="n">
        <x:v>11</x:v>
      </x:c>
      <x:c r="E39" s="42" t="n">
        <x:f>$B$7/$B$5^D39</x:f>
        <x:v>0.00100210204741474</x:v>
      </x:c>
      <x:c r="F39" s="42" t="n">
        <x:f>$B$8*(1-(E39/$B$7)^$B$9)</x:f>
        <x:v>79.9999945395173</x:v>
      </x:c>
      <x:c r="G39" s="42" t="n">
        <x:f>$B$5^D39</x:f>
        <x:v>59874.14171519779</x:v>
      </x:c>
      <x:c r="H39" s="42" t="n">
        <x:f>1/G39</x:f>
        <x:v>0.00001670170079024567</x:v>
      </x:c>
      <x:c r="I39" s="42" t="n">
        <x:f>1/(E39*SQRT(1+$B$13^2))</x:f>
        <x:v>985.4989266803343</x:v>
      </x:c>
      <x:c r="J39" s="42" t="n">
        <x:f>D39*$B$10</x:f>
        <x:v>11</x:v>
      </x:c>
    </x:row>
    <x:row r="40">
      <x:c r="D40" s="42" t="n">
        <x:v>12</x:v>
      </x:c>
      <x:c r="E40" s="42" t="n">
        <x:f>$B$7/$B$5^D40</x:f>
        <x:v>0.00036865274119969273</x:v>
      </x:c>
      <x:c r="F40" s="42" t="n">
        <x:f>$B$8*(1-(E40/$B$7)^$B$9)</x:f>
        <x:v>79.99999878160162</x:v>
      </x:c>
      <x:c r="G40" s="42" t="n">
        <x:f>$B$5^D40</x:f>
        <x:v>162754.79141900386</x:v>
      </x:c>
      <x:c r="H40" s="42" t="n">
        <x:f>1/G40</x:f>
        <x:v>0.000006144212353328212</x:v>
      </x:c>
      <x:c r="I40" s="42" t="n">
        <x:f>1/(E40*SQRT(1+$B$13^2))</x:f>
        <x:v>2678.8638243610458</x:v>
      </x:c>
      <x:c r="J40" s="42" t="n">
        <x:f>D40*$B$10</x:f>
        <x:v>12</x:v>
      </x:c>
    </x:row>
  </x:sheetData>
  <x:mergeCells>
    <x:mergeCell ref="A1:J1"/>
    <x:mergeCell ref="A2:J2"/>
    <x:mergeCell ref="A4:B4"/>
    <x:mergeCell ref="A12:B12"/>
    <x:mergeCell ref="D26:J26"/>
  </x:mergeCells>
  <x:pageMargins left="0.7" right="0.7" top="0.75" bottom="0.75" header="0.3" footer="0.3"/>
  <x:drawing xmlns:r="http://schemas.openxmlformats.org/officeDocument/2006/relationships" r:id="R564aacf2114a4fb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4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Human / Fixture Loading Calibration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First-order modal mass correction plus empirical measured held/free calibration.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Linked inputs</x:v>
      </x:c>
      <x:c r="B4" s="13"/>
    </x:row>
    <x:row r="5">
      <x:c r="A5" t="str">
        <x:v>Actual cut length (mm)</x:v>
      </x:c>
      <x:c r="B5" s="35" t="n">
        <x:f>'Design Inputs'!E13</x:f>
        <x:v>152</x:v>
      </x:c>
    </x:row>
    <x:row r="6">
      <x:c r="A6" t="str">
        <x:v>Unloaded target length (mm)</x:v>
      </x:c>
      <x:c r="B6" s="35" t="n">
        <x:f>'Design Inputs'!E14</x:f>
        <x:v>154.052734375</x:v>
      </x:c>
    </x:row>
    <x:row r="7">
      <x:c r="A7" t="str">
        <x:v>Crystal mass (g)</x:v>
      </x:c>
      <x:c r="B7" s="35" t="n">
        <x:f>'Design Inputs'!E15</x:f>
        <x:v>154</x:v>
      </x:c>
    </x:row>
    <x:row r="8">
      <x:c r="A8" t="str">
        <x:v>Modal mass fraction eta</x:v>
      </x:c>
      <x:c r="B8" s="35" t="n">
        <x:f>'Design Inputs'!E16</x:f>
        <x:v>0.5</x:v>
      </x:c>
    </x:row>
    <x:row r="10" ht="20" customHeight="1">
      <x:c r="A10" s="13" t="str">
        <x:v>Calculated correction</x:v>
      </x:c>
      <x:c r="B10" s="13"/>
    </x:row>
    <x:row r="11">
      <x:c r="A11" t="str">
        <x:v>Loading factor kH</x:v>
      </x:c>
      <x:c r="B11" s="35" t="n">
        <x:f>B5/B6</x:f>
        <x:v>0.9866751188589541</x:v>
      </x:c>
    </x:row>
    <x:row r="12">
      <x:c r="A12" t="str">
        <x:v>Effective modal mass (g)</x:v>
      </x:c>
      <x:c r="B12" s="35" t="n">
        <x:f>B7*B8</x:f>
        <x:v>77</x:v>
      </x:c>
    </x:row>
    <x:row r="13">
      <x:c r="A13" t="str">
        <x:v>Equivalent added modal mass (g)</x:v>
      </x:c>
      <x:c r="B13" s="35" t="n">
        <x:f>B12*(1/B11^2-1)</x:f>
        <x:v>2.0937873341370095</x:v>
      </x:c>
    </x:row>
    <x:row r="14">
      <x:c r="A14" t="str">
        <x:v>Length correction (%)</x:v>
      </x:c>
      <x:c r="B14" s="38" t="n">
        <x:f>B11-1</x:f>
        <x:v>-0.013324881141045908</x:v>
      </x:c>
    </x:row>
    <x:row r="15">
      <x:c r="A15" t="str">
        <x:v>Predicted free/target ratio</x:v>
      </x:c>
      <x:c r="B15" s="35" t="n">
        <x:f>1/B11</x:f>
        <x:v>1.0135048314144737</x:v>
      </x:c>
    </x:row>
    <x:row r="16">
      <x:c r="A16" t="str">
        <x:v>Pure mass-loading status</x:v>
      </x:c>
      <x:c r="B16" s="35" t="str">
        <x:f>IF(B11&lt;=1,"COMPATIBLE WITH ADDED-MASS MODEL","REQUIRES STIFFNESS / MODE CORRECTION")</x:f>
        <x:v>COMPATIBLE WITH ADDED-MASS MODEL</x:v>
      </x:c>
    </x:row>
    <x:row r="17">
      <x:c r="A17" t="str">
        <x:v>Target frequency (Hz)</x:v>
      </x:c>
      <x:c r="B17" s="35" t="n">
        <x:f>'Design Inputs'!B5*5</x:f>
        <x:v>20480</x:v>
      </x:c>
    </x:row>
    <x:row r="18">
      <x:c r="A18" t="str">
        <x:v>Predicted free frequency (Hz)</x:v>
      </x:c>
      <x:c r="B18" s="35" t="n">
        <x:f>B17/B11</x:f>
        <x:v>20756.57894736842</x:v>
      </x:c>
    </x:row>
    <x:row r="19">
      <x:c r="A19" t="str">
        <x:v>Frequency shift required (Hz)</x:v>
      </x:c>
      <x:c r="B19" s="35" t="n">
        <x:f>B17-B18</x:f>
        <x:v>-276.5789473684199</x:v>
      </x:c>
    </x:row>
    <x:row r="21" ht="20" customHeight="1">
      <x:c r="D21" s="13" t="str">
        <x:v>Calibration trials</x:v>
      </x:c>
      <x:c r="E21" s="13"/>
      <x:c r="F21" s="13"/>
      <x:c r="G21" s="13"/>
      <x:c r="H21" s="13"/>
      <x:c r="I21" s="13"/>
      <x:c r="J21" s="13"/>
    </x:row>
    <x:row r="22" ht="30" customHeight="1">
      <x:c r="D22" s="20" t="str">
        <x:v>Trial</x:v>
      </x:c>
      <x:c r="E22" s="20" t="str">
        <x:v>Contact / fixture</x:v>
      </x:c>
      <x:c r="F22" s="20" t="str">
        <x:v>Free Hz</x:v>
      </x:c>
      <x:c r="G22" s="20" t="str">
        <x:v>Loaded Hz</x:v>
      </x:c>
      <x:c r="H22" s="20" t="str">
        <x:v>kH</x:v>
      </x:c>
      <x:c r="I22" s="20" t="str">
        <x:v>Equivalent load (g)</x:v>
      </x:c>
      <x:c r="J22" s="20" t="str">
        <x:v>Notes</x:v>
      </x:c>
    </x:row>
    <x:row r="23">
      <x:c r="D23" s="42" t="n">
        <x:v>1</x:v>
      </x:c>
      <x:c r="E23" s="32" t="str"/>
      <x:c r="F23" s="32" t="str"/>
      <x:c r="G23" s="32" t="str"/>
      <x:c r="H23" s="42" t="str">
        <x:f>IF(OR(F23="",G23=""),"",G23/F23)</x:f>
      </x:c>
      <x:c r="I23" s="42" t="str">
        <x:f>IF(H23="","",$B$12*(1/H23^2-1))</x:f>
      </x:c>
      <x:c r="J23" s="32" t="str"/>
    </x:row>
    <x:row r="24">
      <x:c r="D24" s="42" t="n">
        <x:v>2</x:v>
      </x:c>
      <x:c r="E24" s="32" t="str"/>
      <x:c r="F24" s="32" t="str"/>
      <x:c r="G24" s="32" t="str"/>
      <x:c r="H24" s="42" t="str">
        <x:f>IF(OR(F24="",G24=""),"",G24/F24)</x:f>
      </x:c>
      <x:c r="I24" s="42" t="str">
        <x:f>IF(H24="","",$B$12*(1/H24^2-1))</x:f>
      </x:c>
      <x:c r="J24" s="32" t="str"/>
    </x:row>
    <x:row r="25">
      <x:c r="D25" s="42" t="n">
        <x:v>3</x:v>
      </x:c>
      <x:c r="E25" s="32" t="str"/>
      <x:c r="F25" s="32" t="str"/>
      <x:c r="G25" s="32" t="str"/>
      <x:c r="H25" s="42" t="str">
        <x:f>IF(OR(F25="",G25=""),"",G25/F25)</x:f>
      </x:c>
      <x:c r="I25" s="42" t="str">
        <x:f>IF(H25="","",$B$12*(1/H25^2-1))</x:f>
      </x:c>
      <x:c r="J25" s="32" t="str"/>
    </x:row>
    <x:row r="26">
      <x:c r="D26" s="42" t="n">
        <x:v>4</x:v>
      </x:c>
      <x:c r="E26" s="32" t="str"/>
      <x:c r="F26" s="32" t="str"/>
      <x:c r="G26" s="32" t="str"/>
      <x:c r="H26" s="42" t="str">
        <x:f>IF(OR(F26="",G26=""),"",G26/F26)</x:f>
      </x:c>
      <x:c r="I26" s="42" t="str">
        <x:f>IF(H26="","",$B$12*(1/H26^2-1))</x:f>
      </x:c>
      <x:c r="J26" s="32" t="str"/>
    </x:row>
    <x:row r="27">
      <x:c r="D27" s="42" t="n">
        <x:v>5</x:v>
      </x:c>
      <x:c r="E27" s="32" t="str"/>
      <x:c r="F27" s="32" t="str"/>
      <x:c r="G27" s="32" t="str"/>
      <x:c r="H27" s="42" t="str">
        <x:f>IF(OR(F27="",G27=""),"",G27/F27)</x:f>
      </x:c>
      <x:c r="I27" s="42" t="str">
        <x:f>IF(H27="","",$B$12*(1/H27^2-1))</x:f>
      </x:c>
      <x:c r="J27" s="32" t="str"/>
    </x:row>
    <x:row r="28">
      <x:c r="D28" s="42" t="n">
        <x:v>6</x:v>
      </x:c>
      <x:c r="E28" s="32" t="str"/>
      <x:c r="F28" s="32" t="str"/>
      <x:c r="G28" s="32" t="str"/>
      <x:c r="H28" s="42" t="str">
        <x:f>IF(OR(F28="",G28=""),"",G28/F28)</x:f>
      </x:c>
      <x:c r="I28" s="42" t="str">
        <x:f>IF(H28="","",$B$12*(1/H28^2-1))</x:f>
      </x:c>
      <x:c r="J28" s="32" t="str"/>
    </x:row>
    <x:row r="29">
      <x:c r="D29" s="42" t="n">
        <x:v>7</x:v>
      </x:c>
      <x:c r="E29" s="32" t="str"/>
      <x:c r="F29" s="32" t="str"/>
      <x:c r="G29" s="32" t="str"/>
      <x:c r="H29" s="42" t="str">
        <x:f>IF(OR(F29="",G29=""),"",G29/F29)</x:f>
      </x:c>
      <x:c r="I29" s="42" t="str">
        <x:f>IF(H29="","",$B$12*(1/H29^2-1))</x:f>
      </x:c>
      <x:c r="J29" s="32" t="str"/>
    </x:row>
    <x:row r="30">
      <x:c r="D30" s="42" t="n">
        <x:v>8</x:v>
      </x:c>
      <x:c r="E30" s="32" t="str"/>
      <x:c r="F30" s="32" t="str"/>
      <x:c r="G30" s="32" t="str"/>
      <x:c r="H30" s="42" t="str">
        <x:f>IF(OR(F30="",G30=""),"",G30/F30)</x:f>
      </x:c>
      <x:c r="I30" s="42" t="str">
        <x:f>IF(H30="","",$B$12*(1/H30^2-1))</x:f>
      </x:c>
      <x:c r="J30" s="32" t="str"/>
    </x:row>
    <x:row r="31">
      <x:c r="D31" s="42" t="n">
        <x:v>9</x:v>
      </x:c>
      <x:c r="E31" s="32" t="str"/>
      <x:c r="F31" s="32" t="str"/>
      <x:c r="G31" s="32" t="str"/>
      <x:c r="H31" s="42" t="str">
        <x:f>IF(OR(F31="",G31=""),"",G31/F31)</x:f>
      </x:c>
      <x:c r="I31" s="42" t="str">
        <x:f>IF(H31="","",$B$12*(1/H31^2-1))</x:f>
      </x:c>
      <x:c r="J31" s="32" t="str"/>
    </x:row>
    <x:row r="32">
      <x:c r="D32" s="42" t="n">
        <x:v>10</x:v>
      </x:c>
      <x:c r="E32" s="32" t="str"/>
      <x:c r="F32" s="32" t="str"/>
      <x:c r="G32" s="32" t="str"/>
      <x:c r="H32" s="42" t="str">
        <x:f>IF(OR(F32="",G32=""),"",G32/F32)</x:f>
      </x:c>
      <x:c r="I32" s="42" t="str">
        <x:f>IF(H32="","",$B$12*(1/H32^2-1))</x:f>
      </x:c>
      <x:c r="J32" s="32" t="str"/>
    </x:row>
  </x:sheetData>
  <x:mergeCells>
    <x:mergeCell ref="A1:J1"/>
    <x:mergeCell ref="A2:J2"/>
    <x:mergeCell ref="A4:B4"/>
    <x:mergeCell ref="A10:B10"/>
    <x:mergeCell ref="D21:J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4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</x:cols>
  <x:sheetData>
    <x:row r="1" ht="30" customHeight="1">
      <x:c r="A1" s="3" t="str">
        <x:v>Drive Systems and Phase Closure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Electrode, sound-key, carrier-envelope and microsecond coil pulse models.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20" customHeight="1">
      <x:c r="A4" s="13" t="str">
        <x:v>Linked drive state</x:v>
      </x:c>
      <x:c r="B4" s="13"/>
    </x:row>
    <x:row r="5">
      <x:c r="A5" t="str">
        <x:v>Envelope mode</x:v>
      </x:c>
      <x:c r="B5" s="35" t="str">
        <x:f>'Design Inputs'!E19</x:f>
        <x:v>half_spacing</x:v>
      </x:c>
    </x:row>
    <x:row r="6">
      <x:c r="A6" t="str">
        <x:v>Carrier (Hz)</x:v>
      </x:c>
      <x:c r="B6" s="35" t="n">
        <x:f>'Design Inputs'!E20</x:f>
        <x:v>4096</x:v>
      </x:c>
    </x:row>
    <x:row r="7">
      <x:c r="A7" t="str">
        <x:v>Micro-pulse width (us)</x:v>
      </x:c>
      <x:c r="B7" s="35" t="n">
        <x:f>'Design Inputs'!E21</x:f>
        <x:v>1</x:v>
      </x:c>
    </x:row>
    <x:row r="8">
      <x:c r="A8" t="str">
        <x:v>Pulse voltage (V)</x:v>
      </x:c>
      <x:c r="B8" s="35" t="n">
        <x:f>'Design Inputs'!E22</x:f>
        <x:v>45</x:v>
      </x:c>
    </x:row>
    <x:row r="9">
      <x:c r="A9" t="str">
        <x:v>Peak current (A)</x:v>
      </x:c>
      <x:c r="B9" s="35" t="n">
        <x:f>'Design Inputs'!E23</x:f>
        <x:v>2</x:v>
      </x:c>
    </x:row>
    <x:row r="10">
      <x:c r="A10" t="str">
        <x:v>Rise time (us)</x:v>
      </x:c>
      <x:c r="B10" s="35" t="n">
        <x:f>'Design Inputs'!E24</x:f>
        <x:v>1</x:v>
      </x:c>
    </x:row>
    <x:row r="11">
      <x:c r="A11" t="str">
        <x:v>Decay time (us)</x:v>
      </x:c>
      <x:c r="B11" s="35" t="n">
        <x:f>'Design Inputs'!E25</x:f>
        <x:v>30</x:v>
      </x:c>
    </x:row>
    <x:row r="13" ht="20" customHeight="1">
      <x:c r="A13" s="13" t="str">
        <x:v>Resolved envelope</x:v>
      </x:c>
      <x:c r="B13" s="13"/>
    </x:row>
    <x:row r="14">
      <x:c r="A14" t="str">
        <x:v>ON burst (ms)</x:v>
      </x:c>
      <x:c r="B14" s="35" t="n">
        <x:f>IF(B5="standard",46,IF(B5="half_spacing",46,23))</x:f>
        <x:v>46</x:v>
      </x:c>
    </x:row>
    <x:row r="15">
      <x:c r="A15" t="str">
        <x:v>Spacing (ms)</x:v>
      </x:c>
      <x:c r="B15" s="35" t="n">
        <x:f>IF(B5="standard",46,IF(B5="half_spacing",23,23))</x:f>
        <x:v>23</x:v>
      </x:c>
    </x:row>
    <x:row r="16">
      <x:c r="A16" t="str">
        <x:v>Final pause (ms)</x:v>
      </x:c>
      <x:c r="B16" s="35" t="n">
        <x:f>IF(B5="standard",184,92)</x:f>
        <x:v>92</x:v>
      </x:c>
    </x:row>
    <x:row r="17">
      <x:c r="A17" t="str">
        <x:v>Bursts</x:v>
      </x:c>
      <x:c r="B17" s="35" t="n">
        <x:f>4</x:f>
        <x:v>4</x:v>
      </x:c>
    </x:row>
    <x:row r="18">
      <x:c r="A18" t="str">
        <x:v>Macrocycle (ms)</x:v>
      </x:c>
      <x:c r="B18" s="35" t="n">
        <x:f>B17*(B14+B15)+B16</x:f>
        <x:v>368</x:v>
      </x:c>
    </x:row>
    <x:row r="19">
      <x:c r="A19" t="str">
        <x:v>Macrocycle Hz</x:v>
      </x:c>
      <x:c r="B19" s="35" t="n">
        <x:f>1000/B18</x:f>
        <x:v>2.717391304347826</x:v>
      </x:c>
    </x:row>
    <x:row r="20">
      <x:c r="A20" t="str">
        <x:v>Duty</x:v>
      </x:c>
      <x:c r="B20" s="35" t="n">
        <x:f>B17*B14/B18</x:f>
        <x:v>0.5</x:v>
      </x:c>
    </x:row>
    <x:row r="21">
      <x:c r="A21" t="str">
        <x:v>Nominal carrier cycles</x:v>
      </x:c>
      <x:c r="B21" s="35" t="n">
        <x:f>B6*B18/1000</x:f>
        <x:v>1507.328</x:v>
      </x:c>
    </x:row>
    <x:row r="22">
      <x:c r="A22" t="str">
        <x:v>Preset exact cycles</x:v>
      </x:c>
      <x:c r="B22" s="35" t="n">
        <x:f>IF(B5="standard",2261,IF(B5="half_spacing",1508,1131))</x:f>
        <x:v>1508</x:v>
      </x:c>
    </x:row>
    <x:row r="23">
      <x:c r="A23" t="str">
        <x:v>Exact macrocycle (ms)</x:v>
      </x:c>
      <x:c r="B23" s="35" t="n">
        <x:f>B22/B6*1000</x:f>
        <x:v>368.1640625</x:v>
      </x:c>
    </x:row>
    <x:row r="24">
      <x:c r="A24" t="str">
        <x:v>ON total cycles</x:v>
      </x:c>
      <x:c r="B24" s="35" t="n">
        <x:f>ROUND(B22*B20,0)</x:f>
        <x:v>754</x:v>
      </x:c>
    </x:row>
    <x:row r="25">
      <x:c r="A25" t="str">
        <x:v>Spacing total cycles</x:v>
      </x:c>
      <x:c r="B25" s="35" t="n">
        <x:f>ROUND((B22-B24)*(B17*B15/(B17*B15+B16)),0)</x:f>
        <x:v>377</x:v>
      </x:c>
    </x:row>
    <x:row r="26">
      <x:c r="A26" t="str">
        <x:v>Pause cycles</x:v>
      </x:c>
      <x:c r="B26" s="35" t="n">
        <x:f>B22-B24-B25</x:f>
        <x:v>377</x:v>
      </x:c>
    </x:row>
    <x:row r="27">
      <x:c r="A27" t="str">
        <x:v>Allocation</x:v>
      </x:c>
      <x:c r="B27" s="35" t="str">
        <x:f>B22&amp;" = "&amp;B24&amp;" ON + "&amp;B25&amp;" spacing + "&amp;B26&amp;" pause"</x:f>
        <x:v>1508 = 754 ON + 377 spacing + 377 pause</x:v>
      </x:c>
    </x:row>
    <x:row r="29" ht="20" customHeight="1">
      <x:c r="D29" s="13" t="str">
        <x:v>Microsecond coil pulse</x:v>
      </x:c>
      <x:c r="E29" s="13"/>
      <x:c r="F29" s="13"/>
      <x:c r="G29" s="13"/>
      <x:c r="H29" s="13"/>
    </x:row>
    <x:row r="30" ht="30" customHeight="1">
      <x:c r="D30" s="20" t="str">
        <x:v>Quantity</x:v>
      </x:c>
      <x:c r="E30" s="20" t="str">
        <x:v>Result</x:v>
      </x:c>
      <x:c r="F30" s="20" t="str">
        <x:v>Unit</x:v>
      </x:c>
      <x:c r="G30" s="20" t="str">
        <x:v>Source range</x:v>
      </x:c>
      <x:c r="H30" s="20" t="str">
        <x:v>Status</x:v>
      </x:c>
    </x:row>
    <x:row r="31">
      <x:c r="D31" s="42" t="str">
        <x:v>Carrier period</x:v>
      </x:c>
      <x:c r="E31" s="42" t="n">
        <x:f>1000000/$B$6</x:f>
        <x:v>244.140625</x:v>
      </x:c>
      <x:c r="F31" s="42" t="str">
        <x:v>us</x:v>
      </x:c>
      <x:c r="G31" s="42" t="str">
        <x:v>design-dependent</x:v>
      </x:c>
      <x:c r="H31" s="42" t="str">
        <x:f>IF(D31="Pulse duty",IF(AND($B$7&gt;=1,$B$7&lt;=4),"IN RANGE","COMPARE"),"CALCULATED")</x:f>
        <x:v>CALCULATED</x:v>
      </x:c>
    </x:row>
    <x:row r="32">
      <x:c r="D32" s="42" t="str">
        <x:v>Pulse duty</x:v>
      </x:c>
      <x:c r="E32" s="42" t="n">
        <x:f>$B$7/E31*100</x:f>
        <x:v>0.40959999999999996</x:v>
      </x:c>
      <x:c r="F32" s="42" t="str">
        <x:v>%</x:v>
      </x:c>
      <x:c r="G32" s="42" t="str">
        <x:v>1-4 us</x:v>
      </x:c>
      <x:c r="H32" s="42" t="str">
        <x:f>IF(D32="Pulse duty",IF(AND($B$7&gt;=1,$B$7&lt;=4),"IN RANGE","COMPARE"),"CALCULATED")</x:f>
        <x:v>IN RANGE</x:v>
      </x:c>
    </x:row>
    <x:row r="33">
      <x:c r="D33" s="42" t="str">
        <x:v>Inferred L</x:v>
      </x:c>
      <x:c r="E33" s="42" t="n">
        <x:f>$B$8*$B$10/$B$9</x:f>
        <x:v>22.5</x:v>
      </x:c>
      <x:c r="F33" s="42" t="str">
        <x:v>uH</x:v>
      </x:c>
      <x:c r="G33" s="42" t="str">
        <x:v>design-dependent</x:v>
      </x:c>
      <x:c r="H33" s="42" t="str">
        <x:f>IF(D33="Pulse duty",IF(AND($B$7&gt;=1,$B$7&lt;=4),"IN RANGE","COMPARE"),"CALCULATED")</x:f>
        <x:v>CALCULATED</x:v>
      </x:c>
    </x:row>
    <x:row r="34">
      <x:c r="D34" s="42" t="str">
        <x:v>Stored energy</x:v>
      </x:c>
      <x:c r="E34" s="42" t="n">
        <x:f>0.5*(E33*1E-6)*$B$9^2*1E6</x:f>
        <x:v>44.99999999999999</x:v>
      </x:c>
      <x:c r="F34" s="42" t="str">
        <x:v>uJ</x:v>
      </x:c>
      <x:c r="G34" s="42" t="str">
        <x:v>design-dependent</x:v>
      </x:c>
      <x:c r="H34" s="42" t="str">
        <x:f>IF(D34="Pulse duty",IF(AND($B$7&gt;=1,$B$7&lt;=4),"IN RANGE","COMPARE"),"CALCULATED")</x:f>
        <x:v>CALCULATED</x:v>
      </x:c>
    </x:row>
    <x:row r="35">
      <x:c r="D35" s="42" t="str">
        <x:v>Decay voltage</x:v>
      </x:c>
      <x:c r="E35" s="42" t="n">
        <x:f>(E33*1E-6)*$B$9/($B$11*1E-6)</x:f>
        <x:v>1.5</x:v>
      </x:c>
      <x:c r="F35" s="42" t="str">
        <x:v>V</x:v>
      </x:c>
      <x:c r="G35" s="42" t="str">
        <x:v>design-dependent</x:v>
      </x:c>
      <x:c r="H35" s="42" t="str">
        <x:f>IF(D35="Pulse duty",IF(AND($B$7&gt;=1,$B$7&lt;=4),"IN RANGE","COMPARE"),"CALCULATED")</x:f>
        <x:v>CALCULATED</x:v>
      </x:c>
    </x:row>
    <x:row r="37" ht="20" customHeight="1">
      <x:c r="D37" s="13" t="str">
        <x:v>Electrode and sound-key presets</x:v>
      </x:c>
      <x:c r="E37" s="13"/>
      <x:c r="F37" s="13"/>
      <x:c r="G37" s="13"/>
      <x:c r="H37" s="13"/>
      <x:c r="I37" s="13"/>
      <x:c r="J37" s="13"/>
      <x:c r="K37" s="13"/>
      <x:c r="L37" s="13"/>
    </x:row>
    <x:row r="38" ht="30" customHeight="1">
      <x:c r="D38" s="20" t="str">
        <x:v>Branch</x:v>
      </x:c>
      <x:c r="E38" s="20" t="str">
        <x:v>Frequency</x:v>
      </x:c>
      <x:c r="F38" s="20" t="str">
        <x:v>Amplitude</x:v>
      </x:c>
      <x:c r="G38" s="20" t="str">
        <x:v>ON</x:v>
      </x:c>
      <x:c r="H38" s="20" t="str">
        <x:v>OFF</x:v>
      </x:c>
      <x:c r="I38" s="20" t="str">
        <x:v>Bursts</x:v>
      </x:c>
      <x:c r="J38" s="20" t="str">
        <x:v>Pause</x:v>
      </x:c>
      <x:c r="K38" s="20" t="str">
        <x:v>Macrocycle</x:v>
      </x:c>
      <x:c r="L38" s="20" t="str">
        <x:v>Status</x:v>
      </x:c>
    </x:row>
    <x:row r="39">
      <x:c r="D39" s="42" t="str">
        <x:v>Silver electrode</x:v>
      </x:c>
      <x:c r="E39" s="42" t="n">
        <x:v>20</x:v>
      </x:c>
      <x:c r="F39" s="42" t="str">
        <x:v>15 V</x:v>
      </x:c>
      <x:c r="G39" s="42" t="str">
        <x:v>sharp pulse</x:v>
      </x:c>
      <x:c r="H39" s="42" t="str">
        <x:v>periodic</x:v>
      </x:c>
      <x:c r="I39" s="42" t="str">
        <x:v>session</x:v>
      </x:c>
      <x:c r="J39" s="42" t="str">
        <x:v>user-defined</x:v>
      </x:c>
      <x:c r="K39" s="42" t="str">
        <x:v>user-defined</x:v>
      </x:c>
      <x:c r="L39" s="42" t="str">
        <x:v>source preset</x:v>
      </x:c>
    </x:row>
    <x:row r="40">
      <x:c r="D40" s="42" t="str">
        <x:v>Electrode comparison</x:v>
      </x:c>
      <x:c r="E40" s="42" t="n">
        <x:v>21</x:v>
      </x:c>
      <x:c r="F40" s="42" t="str">
        <x:v>15 V</x:v>
      </x:c>
      <x:c r="G40" s="42" t="str">
        <x:v>sharp pulse</x:v>
      </x:c>
      <x:c r="H40" s="42" t="str">
        <x:v>periodic</x:v>
      </x:c>
      <x:c r="I40" s="42" t="str">
        <x:v>session</x:v>
      </x:c>
      <x:c r="J40" s="42" t="str">
        <x:v>user-defined</x:v>
      </x:c>
      <x:c r="K40" s="42" t="str">
        <x:v>user-defined</x:v>
      </x:c>
      <x:c r="L40" s="42" t="str">
        <x:v>source comparison</x:v>
      </x:c>
    </x:row>
    <x:row r="41">
      <x:c r="D41" s="42" t="str">
        <x:v>Sound key</x:v>
      </x:c>
      <x:c r="E41" s="42" t="n">
        <x:v>1496</x:v>
      </x:c>
      <x:c r="F41" s="42" t="str">
        <x:v>matched SPL</x:v>
      </x:c>
      <x:c r="G41" s="42" t="str">
        <x:v>3 s</x:v>
      </x:c>
      <x:c r="H41" s="42" t="str">
        <x:v>3 s</x:v>
      </x:c>
      <x:c r="I41" s="42" t="n">
        <x:v>4</x:v>
      </x:c>
      <x:c r="J41" s="42" t="str">
        <x:v>12 s</x:v>
      </x:c>
      <x:c r="K41" s="42" t="str">
        <x:v>36 s</x:v>
      </x:c>
      <x:c r="L41" s="42" t="str">
        <x:v>preferred source key</x:v>
      </x:c>
    </x:row>
    <x:row r="42">
      <x:c r="D42" s="42" t="str">
        <x:v>Sound key</x:v>
      </x:c>
      <x:c r="E42" s="42" t="n">
        <x:v>644</x:v>
      </x:c>
      <x:c r="F42" s="42" t="str">
        <x:v>matched SPL</x:v>
      </x:c>
      <x:c r="G42" s="42" t="str">
        <x:v>3 s</x:v>
      </x:c>
      <x:c r="H42" s="42" t="str">
        <x:v>3 s</x:v>
      </x:c>
      <x:c r="I42" s="42" t="n">
        <x:v>4</x:v>
      </x:c>
      <x:c r="J42" s="42" t="str">
        <x:v>12 s</x:v>
      </x:c>
      <x:c r="K42" s="42" t="str">
        <x:v>36 s</x:v>
      </x:c>
      <x:c r="L42" s="42" t="str">
        <x:v>alternate</x:v>
      </x:c>
    </x:row>
    <x:row r="43">
      <x:c r="D43" s="42" t="str">
        <x:v>Sound key</x:v>
      </x:c>
      <x:c r="E43" s="42" t="n">
        <x:v>587</x:v>
      </x:c>
      <x:c r="F43" s="42" t="str">
        <x:v>matched SPL</x:v>
      </x:c>
      <x:c r="G43" s="42" t="str">
        <x:v>3 s</x:v>
      </x:c>
      <x:c r="H43" s="42" t="str">
        <x:v>3 s</x:v>
      </x:c>
      <x:c r="I43" s="42" t="n">
        <x:v>4</x:v>
      </x:c>
      <x:c r="J43" s="42" t="str">
        <x:v>12 s</x:v>
      </x:c>
      <x:c r="K43" s="42" t="str">
        <x:v>36 s</x:v>
      </x:c>
      <x:c r="L43" s="42" t="str">
        <x:v>alternate</x:v>
      </x:c>
    </x:row>
  </x:sheetData>
  <x:mergeCells>
    <x:mergeCell ref="A1:L1"/>
    <x:mergeCell ref="A2:L2"/>
    <x:mergeCell ref="A4:B4"/>
    <x:mergeCell ref="A13:B13"/>
    <x:mergeCell ref="D29:H29"/>
    <x:mergeCell ref="D37:L3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4" hidden="0" customWidth="1"/>
    <x:col min="4" max="4" width="3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Measurement-Oriented Coupling Merit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Bounded score from overlap, Lorentzian detuning, phase closure and node alignment.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0" customHeight="1">
      <x:c r="A4" s="13" t="str">
        <x:v>Linked variables</x:v>
      </x:c>
      <x:c r="B4" s="13"/>
    </x:row>
    <x:row r="5">
      <x:c r="A5" t="str">
        <x:v>Overlap Lambda</x:v>
      </x:c>
      <x:c r="B5" s="35" t="n">
        <x:f>'Design Inputs'!B32</x:f>
        <x:v>0.5</x:v>
      </x:c>
    </x:row>
    <x:row r="6">
      <x:c r="A6" t="str">
        <x:v>Q A</x:v>
      </x:c>
      <x:c r="B6" s="35" t="n">
        <x:f>'Design Inputs'!B30</x:f>
        <x:v>1000</x:v>
      </x:c>
    </x:row>
    <x:row r="7">
      <x:c r="A7" t="str">
        <x:v>Q B</x:v>
      </x:c>
      <x:c r="B7" s="35" t="n">
        <x:f>'Design Inputs'!B31</x:f>
        <x:v>800</x:v>
      </x:c>
    </x:row>
    <x:row r="8">
      <x:c r="A8" t="str">
        <x:v>Mode A (Hz)</x:v>
      </x:c>
      <x:c r="B8" s="35" t="n">
        <x:f>'Design Inputs'!B27</x:f>
        <x:v>20480</x:v>
      </x:c>
    </x:row>
    <x:row r="9">
      <x:c r="A9" t="str">
        <x:v>Mode B (Hz)</x:v>
      </x:c>
      <x:c r="B9" s="35" t="n">
        <x:f>'Design Inputs'!B28</x:f>
        <x:v>20460</x:v>
      </x:c>
    </x:row>
    <x:row r="10">
      <x:c r="A10" t="str">
        <x:v>Phase residue (cycles)</x:v>
      </x:c>
      <x:c r="B10" s="35" t="n">
        <x:f>'Design Inputs'!B33</x:f>
        <x:v>0</x:v>
      </x:c>
    </x:row>
    <x:row r="11">
      <x:c r="A11" t="str">
        <x:v>Node offset (sigma)</x:v>
      </x:c>
      <x:c r="B11" s="35" t="n">
        <x:f>'Design Inputs'!B34</x:f>
        <x:v>0</x:v>
      </x:c>
    </x:row>
    <x:row r="12">
      <x:c r="A12" t="str">
        <x:v>Measured control-subtracted gain</x:v>
      </x:c>
      <x:c r="B12" s="32" t="n">
        <x:v>1</x:v>
      </x:c>
    </x:row>
    <x:row r="14" ht="20" customHeight="1">
      <x:c r="A14" s="13" t="str">
        <x:v>Factors and score</x:v>
      </x:c>
      <x:c r="B14" s="13"/>
    </x:row>
    <x:row r="15">
      <x:c r="A15" t="str">
        <x:v>Effective Q</x:v>
      </x:c>
      <x:c r="B15" s="35" t="n">
        <x:f>2/(1/B6+1/B7)</x:f>
        <x:v>888.8888888888888</x:v>
      </x:c>
    </x:row>
    <x:row r="16">
      <x:c r="A16" t="str">
        <x:v>Detuning fraction</x:v>
      </x:c>
      <x:c r="B16" s="35" t="n">
        <x:f>(B8-B9)/SQRT(B8*B9)</x:f>
        <x:v>0.0009770396866886288</x:v>
      </x:c>
    </x:row>
    <x:row r="17">
      <x:c r="A17" t="str">
        <x:v>Detuning factor</x:v>
      </x:c>
      <x:c r="B17" s="35" t="n">
        <x:f>1/(1+(2*B15*B16)^2)</x:f>
        <x:v>0.24894025469938083</x:v>
      </x:c>
    </x:row>
    <x:row r="18">
      <x:c r="A18" t="str">
        <x:v>Phase factor</x:v>
      </x:c>
      <x:c r="B18" s="35" t="n">
        <x:f>COS(PI()*B10)^2</x:f>
        <x:v>1</x:v>
      </x:c>
    </x:row>
    <x:row r="19">
      <x:c r="A19" t="str">
        <x:v>Node factor</x:v>
      </x:c>
      <x:c r="B19" s="35" t="n">
        <x:f>EXP(-B11^2)</x:f>
        <x:v>1</x:v>
      </x:c>
    </x:row>
    <x:row r="20">
      <x:c r="A20" t="str">
        <x:v>Overlap factor</x:v>
      </x:c>
      <x:c r="B20" s="35" t="n">
        <x:f>B5^2</x:f>
        <x:v>0.25</x:v>
      </x:c>
    </x:row>
    <x:row r="21">
      <x:c r="A21" t="str">
        <x:v>Physics merit</x:v>
      </x:c>
      <x:c r="B21" s="35" t="n">
        <x:f>B17*B18*B19*B20</x:f>
        <x:v>0.06223506367484521</x:v>
      </x:c>
    </x:row>
    <x:row r="22">
      <x:c r="A22" t="str">
        <x:v>Measured gain factor</x:v>
      </x:c>
      <x:c r="B22" s="35" t="n">
        <x:f>MAX(0,B12)</x:f>
        <x:v>1</x:v>
      </x:c>
    </x:row>
    <x:row r="23">
      <x:c r="A23" t="str">
        <x:v>Combined design score</x:v>
      </x:c>
      <x:c r="B23" s="35" t="n">
        <x:f>B21*B22</x:f>
        <x:v>0.06223506367484521</x:v>
      </x:c>
    </x:row>
    <x:row r="24">
      <x:c r="A24" t="str">
        <x:v>Interpretation</x:v>
      </x:c>
      <x:c r="B24" s="35" t="str">
        <x:f>IF(B23&gt;0.5,"HIGH PRIORITY",IF(B23&gt;0.1,"MEDIUM","LOW / DETUNED"))</x:f>
        <x:v>LOW / DETUNED</x:v>
      </x:c>
    </x:row>
    <x:row r="26" ht="20" customHeight="1">
      <x:c r="D26" s="13" t="str">
        <x:v>Factor interpretation</x:v>
      </x:c>
      <x:c r="E26" s="13"/>
      <x:c r="F26" s="13"/>
      <x:c r="G26" s="13"/>
      <x:c r="H26" s="13"/>
      <x:c r="I26" s="13"/>
      <x:c r="J26" s="13"/>
    </x:row>
    <x:row r="27" ht="30" customHeight="1">
      <x:c r="D27" s="20" t="str">
        <x:v>Factor</x:v>
      </x:c>
      <x:c r="E27" s="20" t="str">
        <x:v>Range</x:v>
      </x:c>
      <x:c r="F27" s="20" t="str">
        <x:v>Meaning</x:v>
      </x:c>
      <x:c r="G27" s="20" t="str">
        <x:v>Measurement path</x:v>
      </x:c>
    </x:row>
    <x:row r="28">
      <x:c r="D28" s="42" t="str">
        <x:v>Overlap</x:v>
      </x:c>
      <x:c r="E28" s="42" t="str">
        <x:v>0-1</x:v>
      </x:c>
      <x:c r="F28" s="42" t="str">
        <x:v>Spatial/symmetry compatibility</x:v>
      </x:c>
      <x:c r="G28" s="42" t="str">
        <x:v>FEA or normalized field/mode integral</x:v>
      </x:c>
    </x:row>
    <x:row r="29">
      <x:c r="D29" s="42" t="str">
        <x:v>Detuning</x:v>
      </x:c>
      <x:c r="E29" s="42" t="str">
        <x:v>0-1</x:v>
      </x:c>
      <x:c r="F29" s="42" t="str">
        <x:v>Lorentzian resonance proximity</x:v>
      </x:c>
      <x:c r="G29" s="42" t="str">
        <x:v>frequency sweep and fitted linewidth</x:v>
      </x:c>
    </x:row>
    <x:row r="30">
      <x:c r="D30" s="42" t="str">
        <x:v>Phase</x:v>
      </x:c>
      <x:c r="E30" s="42" t="str">
        <x:v>0-1</x:v>
      </x:c>
      <x:c r="F30" s="42" t="str">
        <x:v>Carrier/envelope closure</x:v>
      </x:c>
      <x:c r="G30" s="42" t="str">
        <x:v>counter/scope timing</x:v>
      </x:c>
    </x:row>
    <x:row r="31">
      <x:c r="D31" s="42" t="str">
        <x:v>Node</x:v>
      </x:c>
      <x:c r="E31" s="42" t="str">
        <x:v>0-1</x:v>
      </x:c>
      <x:c r="F31" s="42" t="str">
        <x:v>Drive at measured modal location</x:v>
      </x:c>
      <x:c r="G31" s="42" t="str">
        <x:v>axial scan</x:v>
      </x:c>
    </x:row>
    <x:row r="32">
      <x:c r="D32" s="42" t="str">
        <x:v>Measured gain</x:v>
      </x:c>
      <x:c r="E32" s="42" t="str">
        <x:v>&gt;=0</x:v>
      </x:c>
      <x:c r="F32" s="42" t="str">
        <x:v>Control-subtracted observed transfer</x:v>
      </x:c>
      <x:c r="G32" s="42" t="str">
        <x:v>dummy/no-crystal/sham comparison</x:v>
      </x:c>
    </x:row>
  </x:sheetData>
  <x:mergeCells>
    <x:mergeCell ref="A1:J1"/>
    <x:mergeCell ref="A2:J2"/>
    <x:mergeCell ref="A4:B4"/>
    <x:mergeCell ref="A14:B14"/>
    <x:mergeCell ref="D26:J2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30" hidden="0" customWidth="1"/>
    <x:col min="4" max="4" width="34" hidden="0" customWidth="1"/>
    <x:col min="5" max="5" width="34" hidden="0" customWidth="1"/>
    <x:col min="6" max="6" width="32" hidden="0" customWidth="1"/>
    <x:col min="7" max="7" width="22" hidden="0" customWidth="1"/>
    <x:col min="8" max="8" width="18" hidden="0" customWidth="1"/>
  </x:cols>
  <x:sheetData>
    <x:row r="1" ht="30" customHeight="1">
      <x:c r="A1" s="3" t="str">
        <x:v>Experiment Planner and Control Matrix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Every branch is paired with an observable, control and failure condition.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20" t="str">
        <x:v>Branch</x:v>
      </x:c>
      <x:c r="B4" s="20" t="str">
        <x:v>Drive</x:v>
      </x:c>
      <x:c r="C4" s="20" t="str">
        <x:v>Observable</x:v>
      </x:c>
      <x:c r="D4" s="20" t="str">
        <x:v>Controls</x:v>
      </x:c>
      <x:c r="E4" s="20" t="str">
        <x:v>Failure / artifact</x:v>
      </x:c>
      <x:c r="F4" s="20" t="str">
        <x:v>Minimum instrumentation</x:v>
      </x:c>
      <x:c r="G4" s="20" t="str">
        <x:v>Status</x:v>
      </x:c>
      <x:c r="H4" s="20" t="str">
        <x:v>Priority</x:v>
      </x:c>
    </x:row>
    <x:row r="5" ht="60" customHeight="1">
      <x:c r="A5" s="26" t="str">
        <x:v>Crystal free modes</x:v>
      </x:c>
      <x:c r="B5" s="26" t="str">
        <x:v>tap / sweep</x:v>
      </x:c>
      <x:c r="C5" s="26" t="str">
        <x:v>FFT peaks, Q, ringdown</x:v>
      </x:c>
      <x:c r="D5" s="26" t="str">
        <x:v>glass, printed geometry, alternate mount</x:v>
      </x:c>
      <x:c r="E5" s="26" t="str">
        <x:v>fixture resonance</x:v>
      </x:c>
      <x:c r="F5" s="26" t="str">
        <x:v>contact mic + accelerometer</x:v>
      </x:c>
      <x:c r="G5" s="26" t="str">
        <x:v>ready</x:v>
      </x:c>
      <x:c r="H5" s="26" t="str">
        <x:v>P0</x:v>
      </x:c>
    </x:row>
    <x:row r="6" ht="60" customHeight="1">
      <x:c r="A6" s="26" t="str">
        <x:v>20/21 Hz electrode</x:v>
      </x:c>
      <x:c r="B6" s="26" t="str">
        <x:v>15 V sharp pulse</x:v>
      </x:c>
      <x:c r="C6" s="26" t="str">
        <x:v>charge, vibration, current</x:v>
      </x:c>
      <x:c r="D6" s="26" t="str">
        <x:v>19.8/20/21 randomized, dummy electrodes</x:v>
      </x:c>
      <x:c r="E6" s="26" t="str">
        <x:v>direct electrical pickup</x:v>
      </x:c>
      <x:c r="F6" s="26" t="str">
        <x:v>scope + shunt + contact mic</x:v>
      </x:c>
      <x:c r="G6" s="26" t="str">
        <x:v>planned</x:v>
      </x:c>
      <x:c r="H6" s="26" t="str">
        <x:v>P0</x:v>
      </x:c>
    </x:row>
    <x:row r="7" ht="60" customHeight="1">
      <x:c r="A7" s="26" t="str">
        <x:v>1496/644/587 sound key</x:v>
      </x:c>
      <x:c r="B7" s="26" t="str">
        <x:v>non-contact speaker</x:v>
      </x:c>
      <x:c r="C7" s="26" t="str">
        <x:v>mode amplitude, Q, node shift</x:v>
      </x:c>
      <x:c r="D7" s="26" t="str">
        <x:v>matched SPL, off-frequency, speaker-only</x:v>
      </x:c>
      <x:c r="E7" s="26" t="str">
        <x:v>acoustic leakage</x:v>
      </x:c>
      <x:c r="F7" s="26" t="str">
        <x:v>speaker + mic/accelerometer</x:v>
      </x:c>
      <x:c r="G7" s="26" t="str">
        <x:v>planned</x:v>
      </x:c>
      <x:c r="H7" s="26" t="str">
        <x:v>P0</x:v>
      </x:c>
    </x:row>
    <x:row r="8" ht="60" customHeight="1">
      <x:c r="A8" s="26" t="str">
        <x:v>4096 opposed coils</x:v>
      </x:c>
      <x:c r="B8" s="26" t="str">
        <x:v>microsecond complementary pulses</x:v>
      </x:c>
      <x:c r="C8" s="26" t="str">
        <x:v>current, B field, vibration, charge</x:v>
      </x:c>
      <x:c r="D8" s="26" t="str">
        <x:v>no crystal, resistor dummy, rotated coil</x:v>
      </x:c>
      <x:c r="E8" s="26" t="str">
        <x:v>switching transient pickup</x:v>
      </x:c>
      <x:c r="F8" s="26" t="str">
        <x:v>scope + current probe + Hall/TMR</x:v>
      </x:c>
      <x:c r="G8" s="26" t="str">
        <x:v>planned</x:v>
      </x:c>
      <x:c r="H8" s="26" t="str">
        <x:v>P0</x:v>
      </x:c>
    </x:row>
    <x:row r="9" ht="60" customHeight="1">
      <x:c r="A9" s="26" t="str">
        <x:v>Spiral cone</x:v>
      </x:c>
      <x:c r="B9" s="26" t="str">
        <x:v>contact/speaker sweep</x:v>
      </x:c>
      <x:c r="C9" s="26" t="str">
        <x:v>cusp gain, Q, nodal map</x:v>
      </x:c>
      <x:c r="D9" s="26" t="str">
        <x:v>disk, cone, Archimedean, flat log spiral</x:v>
      </x:c>
      <x:c r="E9" s="26" t="str">
        <x:v>mass/thickness mismatch</x:v>
      </x:c>
      <x:c r="F9" s="26" t="str">
        <x:v>accelerometer/contact mic</x:v>
      </x:c>
      <x:c r="G9" s="26" t="str">
        <x:v>planned</x:v>
      </x:c>
      <x:c r="H9" s="26" t="str">
        <x:v>P1</x:v>
      </x:c>
    </x:row>
    <x:row r="10" ht="60" customHeight="1">
      <x:c r="A10" s="26" t="str">
        <x:v>Human loading</x:v>
      </x:c>
      <x:c r="B10" s="26" t="str">
        <x:v>free vs held sweep</x:v>
      </x:c>
      <x:c r="C10" s="26" t="str">
        <x:v>frequency shift, Q, variance</x:v>
      </x:c>
      <x:c r="D10" s="26" t="str">
        <x:v>fixture mass, glove, surrogate load</x:v>
      </x:c>
      <x:c r="E10" s="26" t="str">
        <x:v>grip variability, temperature</x:v>
      </x:c>
      <x:c r="F10" s="26" t="str">
        <x:v>FFT + force/contact protocol</x:v>
      </x:c>
      <x:c r="G10" s="26" t="str">
        <x:v>planned</x:v>
      </x:c>
      <x:c r="H10" s="26" t="str">
        <x:v>P1</x:v>
      </x:c>
    </x:row>
    <x:row r="11" ht="60" customHeight="1">
      <x:c r="A11" s="26" t="str">
        <x:v>Water branch</x:v>
      </x:c>
      <x:c r="B11" s="26" t="str">
        <x:v>sound/flow/crystal</x:v>
      </x:c>
      <x:c r="C11" s="26" t="str">
        <x:v>pH, conductivity, temp, mass, UV/Vis</x:v>
      </x:c>
      <x:c r="D11" s="26" t="str">
        <x:v>sham, heat, evaporation, ultrasound</x:v>
      </x:c>
      <x:c r="E11" s="26" t="str">
        <x:v>contamination/cavitation</x:v>
      </x:c>
      <x:c r="F11" s="26" t="str">
        <x:v>randomized vessels + sensors</x:v>
      </x:c>
      <x:c r="G11" s="26" t="str">
        <x:v>planned</x:v>
      </x:c>
      <x:c r="H11" s="26" t="str">
        <x:v>P1</x:v>
      </x:c>
    </x:row>
    <x:row r="12" ht="60" customHeight="1">
      <x:c r="A12" s="26" t="str">
        <x:v>Compact-mode analogue</x:v>
      </x:c>
      <x:c r="B12" s="26" t="str">
        <x:v>parameter sweep</x:v>
      </x:c>
      <x:c r="C12" s="26" t="str">
        <x:v>repeated parity/resonance pattern</x:v>
      </x:c>
      <x:c r="D12" s="26" t="str">
        <x:v>scrambled n/parity labels</x:v>
      </x:c>
      <x:c r="E12" s="26" t="str">
        <x:v>post-hoc fitting</x:v>
      </x:c>
      <x:c r="F12" s="26" t="str">
        <x:v>pre-registered spectrum comparison</x:v>
      </x:c>
      <x:c r="G12" s="26" t="str">
        <x:v>research</x:v>
      </x:c>
      <x:c r="H12" s="26" t="str">
        <x:v>P2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2" hidden="0" customWidth="1"/>
    <x:col min="4" max="4" width="42" hidden="0" customWidth="1"/>
    <x:col min="5" max="5" width="24" hidden="0" customWidth="1"/>
    <x:col min="6" max="6" width="24" hidden="0" customWidth="1"/>
    <x:col min="7" max="7" width="20" hidden="0" customWidth="1"/>
    <x:col min="8" max="8" width="18" hidden="0" customWidth="1"/>
  </x:cols>
  <x:sheetData>
    <x:row r="1" ht="30" customHeight="1">
      <x:c r="A1" s="3" t="str">
        <x:v>Lee-Tsai Paper to RGCS v2 Mapping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Direct mathematical architecture, explicit physical interpretation boundary.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20" t="str">
        <x:v>Paper element</x:v>
      </x:c>
      <x:c r="B4" s="20" t="str">
        <x:v>Paper expression / role</x:v>
      </x:c>
      <x:c r="C4" s="20" t="str">
        <x:v>RGCS analogue</x:v>
      </x:c>
      <x:c r="D4" s="20" t="str">
        <x:v>Calibration / measurement</x:v>
      </x:c>
      <x:c r="E4" s="20" t="str">
        <x:v>Directness</x:v>
      </x:c>
      <x:c r="F4" s="20" t="str">
        <x:v>Failure condition</x:v>
      </x:c>
      <x:c r="G4" s="20" t="str">
        <x:v>Source</x:v>
      </x:c>
      <x:c r="H4" s="20" t="str">
        <x:v>Status</x:v>
      </x:c>
    </x:row>
    <x:row r="5" ht="68" customHeight="1">
      <x:c r="A5" s="26" t="str">
        <x:v>Compact extra dimension</x:v>
      </x:c>
      <x:c r="B5" s="26" t="str">
        <x:v>Coordinate y compactified with radius R</x:v>
      </x:c>
      <x:c r="C5" s="26" t="str">
        <x:v>Closed phase/path coordinate chi with effective radius Rchi</x:v>
      </x:c>
      <x:c r="D5" s="26" t="str">
        <x:v>derive from geometry or fit from measured mode spacing</x:v>
      </x:c>
      <x:c r="E5" s="26" t="str">
        <x:v>mathematical architecture</x:v>
      </x:c>
      <x:c r="F5" s="26" t="str">
        <x:v>no stable discrete spectrum</x:v>
      </x:c>
      <x:c r="G5" s="26" t="str">
        <x:v>DOI 10.1103/tsq1-bhsz</x:v>
      </x:c>
      <x:c r="H5" s="26" t="str">
        <x:v>implemented</x:v>
      </x:c>
    </x:row>
    <x:row r="6" ht="68" customHeight="1">
      <x:c r="A6" s="26" t="str">
        <x:v>KK mode number n</x:v>
      </x:c>
      <x:c r="B6" s="26" t="str">
        <x:v>Discrete odd/even particle modes</x:v>
      </x:c>
      <x:c r="C6" s="26" t="str">
        <x:v>Discrete axial/circumferential/spiral mode index</x:v>
      </x:c>
      <x:c r="D6" s="26" t="str">
        <x:v>FFT/impedance/FEA mode identification</x:v>
      </x:c>
      <x:c r="E6" s="26" t="str">
        <x:v>direct modal analogy</x:v>
      </x:c>
      <x:c r="F6" s="26" t="str">
        <x:v>indices do not predict measured peaks</x:v>
      </x:c>
      <x:c r="G6" s="26" t="str">
        <x:v>paper eqs. 1-2, 9-10</x:v>
      </x:c>
      <x:c r="H6" s="26" t="str">
        <x:v>implemented</x:v>
      </x:c>
    </x:row>
    <x:row r="7" ht="68" customHeight="1">
      <x:c r="A7" s="26" t="str">
        <x:v>Mass spectrum</x:v>
      </x:c>
      <x:c r="B7" s="26" t="str">
        <x:v>m_n^2=m_0^2+n^2/R^2</x:v>
      </x:c>
      <x:c r="C7" s="26" t="str">
        <x:v>f_n^2=fb^2+[n v/(2piRchi)]^2</x:v>
      </x:c>
      <x:c r="D7" s="26" t="str">
        <x:v>fit fb, vchi and Rchi to measured spectrum</x:v>
      </x:c>
      <x:c r="E7" s="26" t="str">
        <x:v>dimensionally adapted</x:v>
      </x:c>
      <x:c r="F7" s="26" t="str">
        <x:v>fit no better than ordinary modal model</x:v>
      </x:c>
      <x:c r="G7" s="26" t="str">
        <x:v>paper eqs. 9-10</x:v>
      </x:c>
      <x:c r="H7" s="26" t="str">
        <x:v>implemented</x:v>
      </x:c>
    </x:row>
    <x:row r="8" ht="68" customHeight="1">
      <x:c r="A8" s="26" t="str">
        <x:v>Boundary parity</x:v>
      </x:c>
      <x:c r="B8" s="26" t="str">
        <x:v>odd fermion and even photon modes</x:v>
      </x:c>
      <x:c r="C8" s="26" t="str">
        <x:v>antisymmetric/symmetric mode families</x:v>
      </x:c>
      <x:c r="D8" s="26" t="str">
        <x:v>mode-shape parity from FEA or sensor phase</x:v>
      </x:c>
      <x:c r="E8" s="26" t="str">
        <x:v>structural analogy</x:v>
      </x:c>
      <x:c r="F8" s="26" t="str">
        <x:v>parity assignment does not replicate</x:v>
      </x:c>
      <x:c r="G8" s="26" t="str">
        <x:v>paper table I</x:v>
      </x:c>
      <x:c r="H8" s="26" t="str">
        <x:v>implemented</x:v>
      </x:c>
    </x:row>
    <x:row r="9" ht="68" customHeight="1">
      <x:c r="A9" s="26" t="str">
        <x:v>Resonance level</x:v>
      </x:c>
      <x:c r="B9" s="26" t="str">
        <x:v>epsilon_R squared offset from pair threshold</x:v>
      </x:c>
      <x:c r="C9" s="26" t="str">
        <x:v>dimensionless squared frequency offset</x:v>
      </x:c>
      <x:c r="D9" s="26" t="str">
        <x:v>measured mode pair frequencies</x:v>
      </x:c>
      <x:c r="E9" s="26" t="str">
        <x:v>direct formula adaptation</x:v>
      </x:c>
      <x:c r="F9" s="26" t="str">
        <x:v>no enhancement near epsilon=0</x:v>
      </x:c>
      <x:c r="G9" s="26" t="str">
        <x:v>paper eq. 13</x:v>
      </x:c>
      <x:c r="H9" s="26" t="str">
        <x:v>implemented</x:v>
      </x:c>
    </x:row>
    <x:row r="10" ht="68" customHeight="1">
      <x:c r="A10" s="26" t="str">
        <x:v>Kinetic mixing</x:v>
      </x:c>
      <x:c r="B10" s="26" t="str">
        <x:v>dark photon to SM photon coupling</x:v>
      </x:c>
      <x:c r="C10" s="26" t="str">
        <x:v>electromechanical / optomechanical overlap Lambda</x:v>
      </x:c>
      <x:c r="D10" s="26" t="str">
        <x:v>normalized field-mode overlap and gain</x:v>
      </x:c>
      <x:c r="E10" s="26" t="str">
        <x:v>coupling analogy</x:v>
      </x:c>
      <x:c r="F10" s="26" t="str">
        <x:v>overlap fails to predict transfer</x:v>
      </x:c>
      <x:c r="G10" s="26" t="str">
        <x:v>paper interaction discussion</x:v>
      </x:c>
      <x:c r="H10" s="26" t="str">
        <x:v>implemented</x:v>
      </x:c>
    </x:row>
    <x:row r="11" ht="68" customHeight="1">
      <x:c r="A11" s="26" t="str">
        <x:v>Radiative corrections</x:v>
      </x:c>
      <x:c r="B11" s="26" t="str">
        <x:v>loop corrections shift mode masses</x:v>
      </x:c>
      <x:c r="C11" s="26" t="str">
        <x:v>geometry, anisotropy, temperature and loading corrections</x:v>
      </x:c>
      <x:c r="D11" s="26" t="str">
        <x:v>calibration model and uncertainty</x:v>
      </x:c>
      <x:c r="E11" s="26" t="str">
        <x:v>model architecture</x:v>
      </x:c>
      <x:c r="F11" s="26" t="str">
        <x:v>corrections unstable / nonrepeatable</x:v>
      </x:c>
      <x:c r="G11" s="26" t="str">
        <x:v>paper eqs. 11-12</x:v>
      </x:c>
      <x:c r="H11" s="26" t="str">
        <x:v>implemented</x:v>
      </x:c>
    </x:row>
    <x:row r="12" ht="68" customHeight="1">
      <x:c r="A12" s="26" t="str">
        <x:v>Resonance enhancement</x:v>
      </x:c>
      <x:c r="B12" s="26" t="str">
        <x:v>interaction enhanced near resonance</x:v>
      </x:c>
      <x:c r="C12" s="26" t="str">
        <x:v>energy transfer and hybridization near avoided crossing</x:v>
      </x:c>
      <x:c r="D12" s="26" t="str">
        <x:v>sweep, Q, splitting and control-subtracted gain</x:v>
      </x:c>
      <x:c r="E12" s="26" t="str">
        <x:v>generic resonance physics</x:v>
      </x:c>
      <x:c r="F12" s="26" t="str">
        <x:v>no splitting / gain</x:v>
      </x:c>
      <x:c r="G12" s="26" t="str">
        <x:v>paper abstract and figures</x:v>
      </x:c>
      <x:c r="H12" s="26" t="str">
        <x:v>implemented</x:v>
      </x:c>
    </x:row>
    <x:row r="14" ht="20" customHeight="1">
      <x:c r="A14" s="13" t="str">
        <x:v>Primary source</x:v>
      </x:c>
      <x:c r="B14" s="13"/>
      <x:c r="C14" s="13"/>
      <x:c r="D14" s="13"/>
      <x:c r="E14" s="13"/>
      <x:c r="F14" s="13"/>
      <x:c r="G14" s="13"/>
      <x:c r="H14" s="13"/>
    </x:row>
    <x:row r="15">
      <x:c r="A15" s="29" t="str">
        <x:v>Taegyu Lee and Yu-Dai Tsai, "Naturally resonant dark matter from extra dimensions," Physical Review D 114, L011701 (2026), DOI: https://doi.org/10.1103/tsq1-bhsz</x:v>
      </x:c>
      <x:c r="B15" s="29"/>
      <x:c r="C15" s="29"/>
      <x:c r="D15" s="29"/>
      <x:c r="E15" s="29"/>
      <x:c r="F15" s="29"/>
      <x:c r="G15" s="29"/>
      <x:c r="H15" s="29"/>
    </x:row>
    <x:row r="16">
      <x:c r="A16" s="29"/>
      <x:c r="B16" s="29"/>
      <x:c r="C16" s="29"/>
      <x:c r="D16" s="29"/>
      <x:c r="E16" s="29"/>
      <x:c r="F16" s="29"/>
      <x:c r="G16" s="29"/>
      <x:c r="H16" s="29"/>
    </x:row>
    <x:row r="17">
      <x:c r="A17" s="29"/>
      <x:c r="B17" s="29"/>
      <x:c r="C17" s="29"/>
      <x:c r="D17" s="29"/>
      <x:c r="E17" s="29"/>
      <x:c r="F17" s="29"/>
      <x:c r="G17" s="29"/>
      <x:c r="H17" s="29"/>
    </x:row>
    <x:row r="18">
      <x:c r="A18" s="29"/>
      <x:c r="B18" s="29"/>
      <x:c r="C18" s="29"/>
      <x:c r="D18" s="29"/>
      <x:c r="E18" s="29"/>
      <x:c r="F18" s="29"/>
      <x:c r="G18" s="29"/>
      <x:c r="H18" s="29"/>
    </x:row>
  </x:sheetData>
  <x:mergeCells>
    <x:mergeCell ref="A1:H1"/>
    <x:mergeCell ref="A2:H2"/>
    <x:mergeCell ref="A14:H14"/>
    <x:mergeCell ref="A15:H18"/>
  </x:mergeCells>
  <x:pageMargins left="0.7" right="0.7" top="0.75" bottom="0.75" header="0.3" footer="0.3"/>
</x:worksheet>
</file>