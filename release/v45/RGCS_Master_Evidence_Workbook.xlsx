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tables/table13.xml" ContentType="application/vnd.openxmlformats-officedocument.spreadsheetml.table+xml"/>
  <Override PartName="/xl/worksheets/sheet16.xml" ContentType="application/vnd.openxmlformats-officedocument.spreadsheetml.worksheet+xml"/>
  <Override PartName="/xl/tables/table14.xml" ContentType="application/vnd.openxmlformats-officedocument.spreadsheetml.table+xml"/>
  <Override PartName="/xl/worksheets/sheet17.xml" ContentType="application/vnd.openxmlformats-officedocument.spreadsheetml.worksheet+xml"/>
  <Override PartName="/xl/tables/table15.xml" ContentType="application/vnd.openxmlformats-officedocument.spreadsheetml.table+xml"/>
  <Override PartName="/xl/worksheets/sheet18.xml" ContentType="application/vnd.openxmlformats-officedocument.spreadsheetml.worksheet+xml"/>
  <Override PartName="/xl/tables/table16.xml" ContentType="application/vnd.openxmlformats-officedocument.spreadsheetml.table+xml"/>
  <Override PartName="/xl/worksheets/sheet19.xml" ContentType="application/vnd.openxmlformats-officedocument.spreadsheetml.worksheet+xml"/>
  <Override PartName="/xl/tables/table17.xml" ContentType="application/vnd.openxmlformats-officedocument.spreadsheetml.table+xml"/>
  <Override PartName="/xl/worksheets/sheet20.xml" ContentType="application/vnd.openxmlformats-officedocument.spreadsheetml.worksheet+xml"/>
  <Override PartName="/xl/tables/table18.xml" ContentType="application/vnd.openxmlformats-officedocument.spreadsheetml.table+xml"/>
  <Override PartName="/xl/worksheets/sheet21.xml" ContentType="application/vnd.openxmlformats-officedocument.spreadsheetml.worksheet+xml"/>
  <Override PartName="/xl/tables/table19.xml" ContentType="application/vnd.openxmlformats-officedocument.spreadsheetml.table+xml"/>
  <Override PartName="/xl/worksheets/sheet22.xml" ContentType="application/vnd.openxmlformats-officedocument.spreadsheetml.worksheet+xml"/>
  <Override PartName="/xl/tables/table20.xml" ContentType="application/vnd.openxmlformats-officedocument.spreadsheetml.table+xml"/>
  <Override PartName="/xl/worksheets/sheet23.xml" ContentType="application/vnd.openxmlformats-officedocument.spreadsheetml.worksheet+xml"/>
  <Override PartName="/xl/tables/table21.xml" ContentType="application/vnd.openxmlformats-officedocument.spreadsheetml.table+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Frequency Keys" sheetId="2" state="visible" r:id="rId2"/>
    <sheet name="Harmonic Relations" sheetId="3" state="visible" r:id="rId3"/>
    <sheet name="Specimens" sheetId="4" state="visible" r:id="rId4"/>
    <sheet name="Mode Estimates" sheetId="5" state="visible" r:id="rId5"/>
    <sheet name="Timing Recipes" sheetId="6" state="visible" r:id="rId6"/>
    <sheet name="Hypotheses" sheetId="7" state="visible" r:id="rId7"/>
    <sheet name="Evidence Ledger" sheetId="8" state="visible" r:id="rId8"/>
    <sheet name="Eye Results" sheetId="9" state="visible" r:id="rId9"/>
    <sheet name="Resonator Platform" sheetId="10" state="visible" r:id="rId10"/>
    <sheet name="Hardware BOM" sheetId="11" state="visible" r:id="rId11"/>
    <sheet name="Experiment Queue" sheetId="12" state="visible" r:id="rId12"/>
    <sheet name="Corrections" sheetId="13" state="visible" r:id="rId13"/>
    <sheet name="Source Registry" sheetId="14" state="visible" r:id="rId14"/>
    <sheet name="Lore Registry" sheetId="15" state="visible" r:id="rId15"/>
    <sheet name="Installer Metadata" sheetId="16" state="visible" r:id="rId16"/>
    <sheet name="CSCP Candidates" sheetId="17" state="visible" r:id="rId17"/>
    <sheet name="CSCP Tetrahedron" sheetId="18" state="visible" r:id="rId18"/>
    <sheet name="CSCP Spacetime" sheetId="19" state="visible" r:id="rId19"/>
    <sheet name="CSCP Experiments" sheetId="20" state="visible" r:id="rId20"/>
    <sheet name="PMWR Recovery" sheetId="21" state="visible" r:id="rId21"/>
    <sheet name="PMWR Crystal" sheetId="22" state="visible" r:id="rId22"/>
    <sheet name="PMWR Phryll" sheetId="23" state="visible" r:id="rId23"/>
    <sheet name="Workbook Guide" sheetId="24" state="visible" r:id="rId24"/>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6"/>
    </font>
    <font>
      <i val="1"/>
    </font>
    <font>
      <b val="1"/>
    </font>
    <font>
      <b val="1"/>
      <color rgb="00FFFFFF"/>
    </font>
    <font>
      <b val="1"/>
      <sz val="14"/>
    </font>
  </fonts>
  <fills count="22">
    <fill>
      <patternFill/>
    </fill>
    <fill>
      <patternFill patternType="gray125"/>
    </fill>
    <fill>
      <patternFill patternType="solid">
        <fgColor rgb="00E0D0F0"/>
      </patternFill>
    </fill>
    <fill>
      <patternFill patternType="solid">
        <fgColor rgb="00FFF0C0"/>
      </patternFill>
    </fill>
    <fill>
      <patternFill patternType="solid">
        <fgColor rgb="00D8E8FF"/>
      </patternFill>
    </fill>
    <fill>
      <patternFill patternType="solid">
        <fgColor rgb="00CFE8CF"/>
      </patternFill>
    </fill>
    <fill>
      <patternFill patternType="solid">
        <fgColor rgb="00BFE0D8"/>
      </patternFill>
    </fill>
    <fill>
      <patternFill patternType="solid">
        <fgColor rgb="00FFE0B0"/>
      </patternFill>
    </fill>
    <fill>
      <patternFill patternType="solid">
        <fgColor rgb="00B0F0B0"/>
      </patternFill>
    </fill>
    <fill>
      <patternFill patternType="solid">
        <fgColor rgb="0080E080"/>
      </patternFill>
    </fill>
    <fill>
      <patternFill patternType="solid">
        <fgColor rgb="00F0C8C8"/>
      </patternFill>
    </fill>
    <fill>
      <patternFill patternType="solid">
        <fgColor rgb="00D8D8D8"/>
      </patternFill>
    </fill>
    <fill>
      <patternFill patternType="solid">
        <fgColor rgb="00E8D8F0"/>
      </patternFill>
    </fill>
    <fill>
      <patternFill patternType="solid">
        <fgColor rgb="00D0E0F0"/>
      </patternFill>
    </fill>
    <fill>
      <patternFill patternType="solid">
        <fgColor rgb="00A0E8A0"/>
      </patternFill>
    </fill>
    <fill>
      <patternFill patternType="solid">
        <fgColor rgb="00E0E0C0"/>
      </patternFill>
    </fill>
    <fill>
      <patternFill patternType="solid">
        <fgColor rgb="00E0D0C0"/>
      </patternFill>
    </fill>
    <fill>
      <patternFill patternType="solid">
        <fgColor rgb="00F0D0D0"/>
      </patternFill>
    </fill>
    <fill>
      <patternFill patternType="solid">
        <fgColor rgb="00F0E0A0"/>
      </patternFill>
    </fill>
    <fill>
      <patternFill patternType="solid">
        <fgColor rgb="00C0E8E0"/>
      </patternFill>
    </fill>
    <fill>
      <patternFill patternType="solid">
        <fgColor rgb="00D0F0D0"/>
      </patternFill>
    </fill>
    <fill>
      <patternFill patternType="solid">
        <fgColor rgb="002E3A46"/>
      </patternFill>
    </fill>
  </fills>
  <borders count="1">
    <border>
      <left/>
      <right/>
      <top/>
      <bottom/>
      <diagonal/>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wrapText="1"/>
    </xf>
    <xf numFmtId="0" fontId="3" fillId="0" borderId="0" pivotButton="0" quotePrefix="0" xfId="0"/>
    <xf numFmtId="0" fontId="0" fillId="2" borderId="0" pivotButton="0" quotePrefix="0" xfId="0"/>
    <xf numFmtId="0" fontId="0" fillId="3" borderId="0" pivotButton="0" quotePrefix="0" xfId="0"/>
    <xf numFmtId="0" fontId="0" fillId="4" borderId="0" pivotButton="0" quotePrefix="0" xfId="0"/>
    <xf numFmtId="0" fontId="0" fillId="5" borderId="0" pivotButton="0" quotePrefix="0" xfId="0"/>
    <xf numFmtId="0" fontId="0" fillId="6" borderId="0" pivotButton="0" quotePrefix="0" xfId="0"/>
    <xf numFmtId="0" fontId="0" fillId="7" borderId="0" pivotButton="0" quotePrefix="0" xfId="0"/>
    <xf numFmtId="0" fontId="0" fillId="8" borderId="0" pivotButton="0" quotePrefix="0" xfId="0"/>
    <xf numFmtId="0" fontId="0" fillId="9" borderId="0" pivotButton="0" quotePrefix="0" xfId="0"/>
    <xf numFmtId="0" fontId="0" fillId="10" borderId="0" pivotButton="0" quotePrefix="0" xfId="0"/>
    <xf numFmtId="0" fontId="0" fillId="11" borderId="0" pivotButton="0" quotePrefix="0" xfId="0"/>
    <xf numFmtId="0" fontId="0" fillId="12" borderId="0" pivotButton="0" quotePrefix="0" xfId="0"/>
    <xf numFmtId="0" fontId="0" fillId="13" borderId="0" pivotButton="0" quotePrefix="0" xfId="0"/>
    <xf numFmtId="0" fontId="0" fillId="14" borderId="0" pivotButton="0" quotePrefix="0" xfId="0"/>
    <xf numFmtId="0" fontId="0" fillId="15" borderId="0" pivotButton="0" quotePrefix="0" xfId="0"/>
    <xf numFmtId="0" fontId="0" fillId="16" borderId="0" pivotButton="0" quotePrefix="0" xfId="0"/>
    <xf numFmtId="0" fontId="0" fillId="17" borderId="0" pivotButton="0" quotePrefix="0" xfId="0"/>
    <xf numFmtId="0" fontId="0" fillId="18" borderId="0" pivotButton="0" quotePrefix="0" xfId="0"/>
    <xf numFmtId="0" fontId="0" fillId="19" borderId="0" pivotButton="0" quotePrefix="0" xfId="0"/>
    <xf numFmtId="0" fontId="0" fillId="20" borderId="0" pivotButton="0" quotePrefix="0" xfId="0"/>
    <xf numFmtId="0" fontId="4" fillId="21" borderId="0" applyAlignment="1" pivotButton="0" quotePrefix="0" xfId="0">
      <alignment horizontal="left"/>
    </xf>
    <xf numFmtId="0" fontId="4" fillId="21" borderId="0" pivotButton="0" quotePrefix="0" xfId="0"/>
    <xf numFmtId="0"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styles" Target="styles.xml" Id="rId25" /><Relationship Type="http://schemas.openxmlformats.org/officeDocument/2006/relationships/theme" Target="theme/theme1.xml" Id="rId26" /></Relationships>
</file>

<file path=xl/tables/table1.xml><?xml version="1.0" encoding="utf-8"?>
<table xmlns="http://schemas.openxmlformats.org/spreadsheetml/2006/main" id="1" name="FrequencyKeys" displayName="FrequencyKeys" ref="A1:I13" headerRowCount="1">
  <autoFilter ref="A1:I13"/>
  <tableColumns count="9">
    <tableColumn id="1" name="id"/>
    <tableColumn id="2" name="kind"/>
    <tableColumn id="3" name="evidence_class"/>
    <tableColumn id="4" name="privacy_class"/>
    <tableColumn id="5" name="provenance"/>
    <tableColumn id="6" name="hz"/>
    <tableColumn id="7" name="hz_float"/>
    <tableColumn id="8" name="status"/>
    <tableColumn id="9" name="tags"/>
  </tableColumns>
  <tableStyleInfo name="TableStyleLight9" showRowStripes="0"/>
</table>
</file>

<file path=xl/tables/table2.xml><?xml version="1.0" encoding="utf-8"?>
<table xmlns="http://schemas.openxmlformats.org/spreadsheetml/2006/main" id="2" name="HarmonicRelations" displayName="HarmonicRelations" ref="A1:M8" headerRowCount="1">
  <autoFilter ref="A1:M8"/>
  <tableColumns count="13">
    <tableColumn id="1" name="id"/>
    <tableColumn id="2" name="kind"/>
    <tableColumn id="3" name="evidence_class"/>
    <tableColumn id="4" name="privacy_class"/>
    <tableColumn id="5" name="provenance"/>
    <tableColumn id="6" name="expression"/>
    <tableColumn id="7" name="output_hz"/>
    <tableColumn id="8" name="target_hz"/>
    <tableColumn id="9" name="primary_class"/>
    <tableColumn id="10" name="order"/>
    <tableColumn id="11" name="exact"/>
    <tableColumn id="12" name="abs_error_hz"/>
    <tableColumn id="13" name="note"/>
  </tableColumns>
  <tableStyleInfo name="TableStyleLight9" showRowStripes="0"/>
</table>
</file>

<file path=xl/tables/table3.xml><?xml version="1.0" encoding="utf-8"?>
<table xmlns="http://schemas.openxmlformats.org/spreadsheetml/2006/main" id="3" name="Specimens" displayName="Specimens" ref="A1:K2" headerRowCount="1">
  <autoFilter ref="A1:K2"/>
  <tableColumns count="11">
    <tableColumn id="1" name="id"/>
    <tableColumn id="2" name="kind"/>
    <tableColumn id="3" name="evidence_class"/>
    <tableColumn id="4" name="privacy_class"/>
    <tableColumn id="5" name="provenance"/>
    <tableColumn id="6" name="revision"/>
    <tableColumn id="7" name="status"/>
    <tableColumn id="8" name="length_mm"/>
    <tableColumn id="9" name="facets"/>
    <tableColumn id="10" name="material_claim"/>
    <tableColumn id="11" name="warning"/>
  </tableColumns>
  <tableStyleInfo name="TableStyleLight9" showRowStripes="0"/>
</table>
</file>

<file path=xl/tables/table4.xml><?xml version="1.0" encoding="utf-8"?>
<table xmlns="http://schemas.openxmlformats.org/spreadsheetml/2006/main" id="4" name="TimingRecipes" displayName="TimingRecipes" ref="A1:K12" headerRowCount="1">
  <autoFilter ref="A1:K12"/>
  <tableColumns count="11">
    <tableColumn id="1" name="id"/>
    <tableColumn id="2" name="kind"/>
    <tableColumn id="3" name="evidence_class"/>
    <tableColumn id="4" name="privacy_class"/>
    <tableColumn id="5" name="provenance"/>
    <tableColumn id="6" name="family"/>
    <tableColumn id="7" name="frequency_hz"/>
    <tableColumn id="8" name="mechanism"/>
    <tableColumn id="9" name="order"/>
    <tableColumn id="10" name="hypothesis"/>
    <tableColumn id="11" name="is_control"/>
  </tableColumns>
  <tableStyleInfo name="TableStyleLight9" showRowStripes="0"/>
</table>
</file>

<file path=xl/tables/table5.xml><?xml version="1.0" encoding="utf-8"?>
<table xmlns="http://schemas.openxmlformats.org/spreadsheetml/2006/main" id="5" name="Hypotheses" displayName="Hypotheses" ref="A1:J7" headerRowCount="1">
  <autoFilter ref="A1:J7"/>
  <tableColumns count="10">
    <tableColumn id="1" name="id"/>
    <tableColumn id="2" name="kind"/>
    <tableColumn id="3" name="evidence_class"/>
    <tableColumn id="4" name="privacy_class"/>
    <tableColumn id="5" name="provenance"/>
    <tableColumn id="6" name="statement"/>
    <tableColumn id="7" name="mechanism"/>
    <tableColumn id="8" name="status"/>
    <tableColumn id="9" name="prediction"/>
    <tableColumn id="10" name="disconfirmed_by"/>
  </tableColumns>
  <tableStyleInfo name="TableStyleLight9" showRowStripes="0"/>
</table>
</file>

<file path=xl/tables/table6.xml><?xml version="1.0" encoding="utf-8"?>
<table xmlns="http://schemas.openxmlformats.org/spreadsheetml/2006/main" id="6" name="EvidenceLedger" displayName="EvidenceLedger" ref="A1:F130" headerRowCount="1">
  <autoFilter ref="A1:F130"/>
  <tableColumns count="6">
    <tableColumn id="1" name="table"/>
    <tableColumn id="2" name="id"/>
    <tableColumn id="3" name="kind"/>
    <tableColumn id="4" name="evidence_class"/>
    <tableColumn id="5" name="privacy_class"/>
    <tableColumn id="6" name="provenance"/>
  </tableColumns>
  <tableStyleInfo name="TableStyleLight9" showRowStripes="0"/>
</table>
</file>

<file path=xl/tables/table7.xml><?xml version="1.0" encoding="utf-8"?>
<table xmlns="http://schemas.openxmlformats.org/spreadsheetml/2006/main" id="7" name="EyeResults" displayName="EyeResults" ref="A1:K3" headerRowCount="1">
  <autoFilter ref="A1:K3"/>
  <tableColumns count="11">
    <tableColumn id="1" name="id"/>
    <tableColumn id="2" name="kind"/>
    <tableColumn id="3" name="evidence_class"/>
    <tableColumn id="4" name="privacy_class"/>
    <tableColumn id="5" name="provenance"/>
    <tableColumn id="6" name="candidate_mm"/>
    <tableColumn id="7" name="station_mm"/>
    <tableColumn id="8" name="separation_mm"/>
    <tableColumn id="9" name="halfwidth_mm"/>
    <tableColumn id="10" name="status"/>
    <tableColumn id="11" name="note"/>
  </tableColumns>
  <tableStyleInfo name="TableStyleLight9" showRowStripes="0"/>
</table>
</file>

<file path=xl/tables/table8.xml><?xml version="1.0" encoding="utf-8"?>
<table xmlns="http://schemas.openxmlformats.org/spreadsheetml/2006/main" id="8" name="ResonatorPlatform" displayName="ResonatorPlatform" ref="A1:L2" headerRowCount="1">
  <autoFilter ref="A1:L2"/>
  <tableColumns count="12">
    <tableColumn id="1" name="id"/>
    <tableColumn id="2" name="kind"/>
    <tableColumn id="3" name="evidence_class"/>
    <tableColumn id="4" name="privacy_class"/>
    <tableColumn id="5" name="provenance"/>
    <tableColumn id="6" name="predicted_hz"/>
    <tableColumn id="7" name="target_hz"/>
    <tableColumn id="8" name="final_fitted_hz"/>
    <tableColumn id="9" name="accepted"/>
    <tableColumn id="10" name="iterations"/>
    <tableColumn id="11" name="synthetic"/>
    <tableColumn id="12" name="banner"/>
  </tableColumns>
  <tableStyleInfo name="TableStyleLight9" showRowStripes="0"/>
</table>
</file>

<file path=xl/tables/table9.xml><?xml version="1.0" encoding="utf-8"?>
<table xmlns="http://schemas.openxmlformats.org/spreadsheetml/2006/main" id="9" name="HardwareBOM" displayName="HardwareBOM" ref="A1:I9" headerRowCount="1">
  <autoFilter ref="A1:I9"/>
  <tableColumns count="9">
    <tableColumn id="1" name="id"/>
    <tableColumn id="2" name="kind"/>
    <tableColumn id="3" name="evidence_class"/>
    <tableColumn id="4" name="privacy_class"/>
    <tableColumn id="5" name="provenance"/>
    <tableColumn id="6" name="board"/>
    <tableColumn id="7" name="verified"/>
    <tableColumn id="8" name="candidate_output_pins"/>
    <tableColumn id="9" name="note"/>
  </tableColumns>
  <tableStyleInfo name="TableStyleLight9" showRowStripes="0"/>
</table>
</file>

<file path=xl/tables/table10.xml><?xml version="1.0" encoding="utf-8"?>
<table xmlns="http://schemas.openxmlformats.org/spreadsheetml/2006/main" id="10" name="ExperimentQueue" displayName="ExperimentQueue" ref="A1:H9" headerRowCount="1">
  <autoFilter ref="A1:H9"/>
  <tableColumns count="8">
    <tableColumn id="1" name="id"/>
    <tableColumn id="2" name="kind"/>
    <tableColumn id="3" name="evidence_class"/>
    <tableColumn id="4" name="privacy_class"/>
    <tableColumn id="5" name="provenance"/>
    <tableColumn id="6" name="order"/>
    <tableColumn id="7" name="campaign"/>
    <tableColumn id="8" name="status"/>
  </tableColumns>
  <tableStyleInfo name="TableStyleLight9" showRowStripes="0"/>
</table>
</file>

<file path=xl/tables/table11.xml><?xml version="1.0" encoding="utf-8"?>
<table xmlns="http://schemas.openxmlformats.org/spreadsheetml/2006/main" id="11" name="Corrections" displayName="Corrections" ref="A1:F11" headerRowCount="1">
  <autoFilter ref="A1:F11"/>
  <tableColumns count="6">
    <tableColumn id="1" name="id"/>
    <tableColumn id="2" name="kind"/>
    <tableColumn id="3" name="evidence_class"/>
    <tableColumn id="4" name="privacy_class"/>
    <tableColumn id="5" name="provenance"/>
    <tableColumn id="6" name="statement"/>
  </tableColumns>
  <tableStyleInfo name="TableStyleLight9" showRowStripes="0"/>
</table>
</file>

<file path=xl/tables/table12.xml><?xml version="1.0" encoding="utf-8"?>
<table xmlns="http://schemas.openxmlformats.org/spreadsheetml/2006/main" id="12" name="SourceRegistry" displayName="SourceRegistry" ref="A1:J6" headerRowCount="1">
  <autoFilter ref="A1:J6"/>
  <tableColumns count="10">
    <tableColumn id="1" name="id"/>
    <tableColumn id="2" name="kind"/>
    <tableColumn id="3" name="evidence_class"/>
    <tableColumn id="4" name="privacy_class"/>
    <tableColumn id="5" name="provenance"/>
    <tableColumn id="6" name="title"/>
    <tableColumn id="7" name="doi"/>
    <tableColumn id="8" name="system"/>
    <tableColumn id="9" name="publication_state"/>
    <tableColumn id="10" name="forbidden_transfers"/>
  </tableColumns>
  <tableStyleInfo name="TableStyleLight9" showRowStripes="0"/>
</table>
</file>

<file path=xl/tables/table13.xml><?xml version="1.0" encoding="utf-8"?>
<table xmlns="http://schemas.openxmlformats.org/spreadsheetml/2006/main" id="13" name="LoreRegistry" displayName="LoreRegistry" ref="A1:G2" headerRowCount="1">
  <autoFilter ref="A1:G2"/>
  <tableColumns count="7">
    <tableColumn id="1" name="id"/>
    <tableColumn id="2" name="kind"/>
    <tableColumn id="3" name="evidence_class"/>
    <tableColumn id="4" name="privacy_class"/>
    <tableColumn id="5" name="provenance"/>
    <tableColumn id="6" name="statement"/>
    <tableColumn id="7" name="note"/>
  </tableColumns>
  <tableStyleInfo name="TableStyleLight9" showRowStripes="0"/>
</table>
</file>

<file path=xl/tables/table14.xml><?xml version="1.0" encoding="utf-8"?>
<table xmlns="http://schemas.openxmlformats.org/spreadsheetml/2006/main" id="14" name="InstallerMetadata" displayName="InstallerMetadata" ref="A1:L2" headerRowCount="1">
  <autoFilter ref="A1:L2"/>
  <tableColumns count="12">
    <tableColumn id="1" name="id"/>
    <tableColumn id="2" name="kind"/>
    <tableColumn id="3" name="evidence_class"/>
    <tableColumn id="4" name="privacy_class"/>
    <tableColumn id="5" name="provenance"/>
    <tableColumn id="6" name="product"/>
    <tableColumn id="7" name="install_scope"/>
    <tableColumn id="8" name="signed"/>
    <tableColumn id="9" name="telemetry"/>
    <tableColumn id="10" name="network"/>
    <tableColumn id="11" name="claim_boundary"/>
    <tableColumn id="12" name="version"/>
  </tableColumns>
  <tableStyleInfo name="TableStyleLight9" showRowStripes="0"/>
</table>
</file>

<file path=xl/tables/table15.xml><?xml version="1.0" encoding="utf-8"?>
<table xmlns="http://schemas.openxmlformats.org/spreadsheetml/2006/main" id="15" name="CSCPCandidates" displayName="CSCPCandidates" ref="A1:L18" headerRowCount="1">
  <autoFilter ref="A1:L18"/>
  <tableColumns count="12">
    <tableColumn id="1" name="id"/>
    <tableColumn id="2" name="kind"/>
    <tableColumn id="3" name="evidence_class"/>
    <tableColumn id="4" name="privacy_class"/>
    <tableColumn id="5" name="provenance"/>
    <tableColumn id="6" name="exact_value"/>
    <tableColumn id="7" name="unit"/>
    <tableColumn id="8" name="physically_supported_value"/>
    <tableColumn id="9" name="significant_figures"/>
    <tableColumn id="10" name="overclaims_if_quoted_exactly"/>
    <tableColumn id="11" name="status"/>
    <tableColumn id="12" name="note"/>
  </tableColumns>
  <tableStyleInfo name="TableStyleLight9" showRowStripes="0"/>
</table>
</file>

<file path=xl/tables/table16.xml><?xml version="1.0" encoding="utf-8"?>
<table xmlns="http://schemas.openxmlformats.org/spreadsheetml/2006/main" id="16" name="CSCPTetrahedron" displayName="CSCPTetrahedron" ref="A1:I6" headerRowCount="1">
  <autoFilter ref="A1:I6"/>
  <tableColumns count="9">
    <tableColumn id="1" name="id"/>
    <tableColumn id="2" name="kind"/>
    <tableColumn id="3" name="evidence_class"/>
    <tableColumn id="4" name="privacy_class"/>
    <tableColumn id="5" name="provenance"/>
    <tableColumn id="6" name="source_phrase"/>
    <tableColumn id="7" name="status"/>
    <tableColumn id="8" name="n_readings"/>
    <tableColumn id="9" name="resolution"/>
  </tableColumns>
  <tableStyleInfo name="TableStyleLight9" showRowStripes="0"/>
</table>
</file>

<file path=xl/tables/table17.xml><?xml version="1.0" encoding="utf-8"?>
<table xmlns="http://schemas.openxmlformats.org/spreadsheetml/2006/main" id="17" name="CSCPSpacetime" displayName="CSCPSpacetime" ref="A1:K7" headerRowCount="1">
  <autoFilter ref="A1:K7"/>
  <tableColumns count="11">
    <tableColumn id="1" name="id"/>
    <tableColumn id="2" name="kind"/>
    <tableColumn id="3" name="evidence_class"/>
    <tableColumn id="4" name="privacy_class"/>
    <tableColumn id="5" name="provenance"/>
    <tableColumn id="6" name="apparatus"/>
    <tableColumn id="7" name="energy_j"/>
    <tableColumn id="8" name="equivalent_mass_kg"/>
    <tableColumn id="9" name="schwarzschild_radius_m"/>
    <tableColumn id="10" name="orders_of_magnitude_below_proton"/>
    <tableColumn id="11" name="verdict"/>
  </tableColumns>
  <tableStyleInfo name="TableStyleLight9" showRowStripes="0"/>
</table>
</file>

<file path=xl/tables/table18.xml><?xml version="1.0" encoding="utf-8"?>
<table xmlns="http://schemas.openxmlformats.org/spreadsheetml/2006/main" id="18" name="CSCPExperiments" displayName="CSCPExperiments" ref="A1:L3" headerRowCount="1">
  <autoFilter ref="A1:L3"/>
  <tableColumns count="12">
    <tableColumn id="1" name="id"/>
    <tableColumn id="2" name="kind"/>
    <tableColumn id="3" name="evidence_class"/>
    <tableColumn id="4" name="privacy_class"/>
    <tableColumn id="5" name="provenance"/>
    <tableColumn id="6" name="question"/>
    <tableColumn id="7" name="n_controls"/>
    <tableColumn id="8" name="n_per_condition"/>
    <tableColumn id="9" name="blinding"/>
    <tableColumn id="10" name="stopping_rule"/>
    <tableColumn id="11" name="apparatus_status"/>
    <tableColumn id="12" name="data_status"/>
  </tableColumns>
  <tableStyleInfo name="TableStyleLight9" showRowStripes="0"/>
</table>
</file>

<file path=xl/tables/table19.xml><?xml version="1.0" encoding="utf-8"?>
<table xmlns="http://schemas.openxmlformats.org/spreadsheetml/2006/main" id="19" name="PMWRRecovery" displayName="PMWRRecovery" ref="A1:H5" headerRowCount="1">
  <autoFilter ref="A1:H5"/>
  <tableColumns count="8">
    <tableColumn id="1" name="id"/>
    <tableColumn id="2" name="kind"/>
    <tableColumn id="3" name="evidence_class"/>
    <tableColumn id="4" name="privacy_class"/>
    <tableColumn id="5" name="provenance"/>
    <tableColumn id="6" name="closure_window_s"/>
    <tableColumn id="7" name="aliases_per_second"/>
    <tableColumn id="8" name="statement"/>
  </tableColumns>
  <tableStyleInfo name="TableStyleLight9" showRowStripes="0"/>
</table>
</file>

<file path=xl/tables/table20.xml><?xml version="1.0" encoding="utf-8"?>
<table xmlns="http://schemas.openxmlformats.org/spreadsheetml/2006/main" id="20" name="PMWRCrystal" displayName="PMWRCrystal" ref="A1:J8" headerRowCount="1">
  <autoFilter ref="A1:J8"/>
  <tableColumns count="10">
    <tableColumn id="1" name="id"/>
    <tableColumn id="2" name="kind"/>
    <tableColumn id="3" name="evidence_class"/>
    <tableColumn id="4" name="privacy_class"/>
    <tableColumn id="5" name="provenance"/>
    <tableColumn id="6" name="theta_deg"/>
    <tableColumn id="7" name="h_over_half_base"/>
    <tableColumn id="8" name="full_base_over_height"/>
    <tableColumn id="9" name="abs_diff_from_pi_over_2"/>
    <tableColumn id="10" name="mechanism_claim"/>
  </tableColumns>
  <tableStyleInfo name="TableStyleLight9" showRowStripes="0"/>
</table>
</file>

<file path=xl/tables/table21.xml><?xml version="1.0" encoding="utf-8"?>
<table xmlns="http://schemas.openxmlformats.org/spreadsheetml/2006/main" id="21" name="PMWRPhryll" displayName="PMWRPhryll" ref="A1:I15" headerRowCount="1">
  <autoFilter ref="A1:I15"/>
  <tableColumns count="9">
    <tableColumn id="1" name="id"/>
    <tableColumn id="2" name="kind"/>
    <tableColumn id="3" name="evidence_class"/>
    <tableColumn id="4" name="privacy_class"/>
    <tableColumn id="5" name="provenance"/>
    <tableColumn id="6" name="ladder"/>
    <tableColumn id="7" name="detected_state_exists"/>
    <tableColumn id="8" name="operator_note_sha256"/>
    <tableColumn id="9" name="note_status"/>
  </tableColumns>
  <tableStyleInfo name="TableStyleLight9" showRow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table" Target="/xl/tables/table11.xml" Id="rId1"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_rels/sheet15.xml.rels><Relationships xmlns="http://schemas.openxmlformats.org/package/2006/relationships"><Relationship Type="http://schemas.openxmlformats.org/officeDocument/2006/relationships/table" Target="/xl/tables/table13.xml" Id="rId1" /></Relationships>
</file>

<file path=xl/worksheets/_rels/sheet16.xml.rels><Relationships xmlns="http://schemas.openxmlformats.org/package/2006/relationships"><Relationship Type="http://schemas.openxmlformats.org/officeDocument/2006/relationships/table" Target="/xl/tables/table14.xml" Id="rId1" /></Relationships>
</file>

<file path=xl/worksheets/_rels/sheet17.xml.rels><Relationships xmlns="http://schemas.openxmlformats.org/package/2006/relationships"><Relationship Type="http://schemas.openxmlformats.org/officeDocument/2006/relationships/table" Target="/xl/tables/table15.xml" Id="rId1" /></Relationships>
</file>

<file path=xl/worksheets/_rels/sheet18.xml.rels><Relationships xmlns="http://schemas.openxmlformats.org/package/2006/relationships"><Relationship Type="http://schemas.openxmlformats.org/officeDocument/2006/relationships/table" Target="/xl/tables/table16.xml" Id="rId1" /></Relationships>
</file>

<file path=xl/worksheets/_rels/sheet19.xml.rels><Relationships xmlns="http://schemas.openxmlformats.org/package/2006/relationships"><Relationship Type="http://schemas.openxmlformats.org/officeDocument/2006/relationships/table" Target="/xl/tables/table17.xml" Id="rId1" /></Relationships>
</file>

<file path=xl/worksheets/_rels/sheet20.xml.rels><Relationships xmlns="http://schemas.openxmlformats.org/package/2006/relationships"><Relationship Type="http://schemas.openxmlformats.org/officeDocument/2006/relationships/table" Target="/xl/tables/table18.xml" Id="rId1" /></Relationships>
</file>

<file path=xl/worksheets/_rels/sheet21.xml.rels><Relationships xmlns="http://schemas.openxmlformats.org/package/2006/relationships"><Relationship Type="http://schemas.openxmlformats.org/officeDocument/2006/relationships/table" Target="/xl/tables/table19.xml" Id="rId1" /></Relationships>
</file>

<file path=xl/worksheets/_rels/sheet22.xml.rels><Relationships xmlns="http://schemas.openxmlformats.org/package/2006/relationships"><Relationship Type="http://schemas.openxmlformats.org/officeDocument/2006/relationships/table" Target="/xl/tables/table20.xml" Id="rId1" /></Relationships>
</file>

<file path=xl/worksheets/_rels/sheet23.xml.rels><Relationships xmlns="http://schemas.openxmlformats.org/package/2006/relationships"><Relationship Type="http://schemas.openxmlformats.org/officeDocument/2006/relationships/table" Target="/xl/tables/table21.xml" Id="rId1" /></Relationships>
</file>

<file path=xl/worksheets/sheet1.xml><?xml version="1.0" encoding="utf-8"?>
<worksheet xmlns="http://schemas.openxmlformats.org/spreadsheetml/2006/main">
  <sheetPr>
    <outlinePr summaryBelow="1" summaryRight="1"/>
    <pageSetUpPr/>
  </sheetPr>
  <dimension ref="A1:H52"/>
  <sheetViews>
    <sheetView workbookViewId="0">
      <selection activeCell="A1" sqref="A1"/>
    </sheetView>
  </sheetViews>
  <sheetFormatPr baseColWidth="8" defaultRowHeight="15"/>
  <cols>
    <col width="34" customWidth="1" min="1" max="1"/>
    <col width="12" customWidth="1" min="2" max="2"/>
  </cols>
  <sheetData>
    <row r="1">
      <c r="A1" s="1" t="inlineStr">
        <is>
          <t>RGCS Master Evidence Workbook</t>
        </is>
      </c>
    </row>
    <row r="2">
      <c r="A2" t="inlineStr">
        <is>
          <t>Schema 1.0.0 · RGCS v4.7.0 · generated from canonical repository data</t>
        </is>
      </c>
    </row>
    <row r="3">
      <c r="A3" s="2" t="inlineStr">
        <is>
          <t>Lore proposes. Mathematics translates. Software attacks. Evidence decides. Provenance remembers.</t>
        </is>
      </c>
    </row>
    <row r="5">
      <c r="A5" s="3" t="inlineStr">
        <is>
          <t>CLAIM BOUNDARY: this workbook shows arithmetic, analytic models, simulations, and synthetic runs. It does NOT claim any physical crystal resonance, the Eye hypothesis, or any anomalous channel is validated. The purchased specimen is PREARRIVAL, unmeasured.</t>
        </is>
      </c>
    </row>
    <row r="6"/>
    <row r="7"/>
    <row r="9">
      <c r="A9" s="4" t="inlineStr">
        <is>
          <t>Registry</t>
        </is>
      </c>
      <c r="B9" s="4" t="inlineStr">
        <is>
          <t>Rows</t>
        </is>
      </c>
    </row>
    <row r="10">
      <c r="A10" t="inlineStr">
        <is>
          <t>corrections</t>
        </is>
      </c>
      <c r="B10" t="n">
        <v>10</v>
      </c>
    </row>
    <row r="11">
      <c r="A11" t="inlineStr">
        <is>
          <t>cspc_candidates</t>
        </is>
      </c>
      <c r="B11" t="n">
        <v>17</v>
      </c>
    </row>
    <row r="12">
      <c r="A12" t="inlineStr">
        <is>
          <t>cspc_experiments</t>
        </is>
      </c>
      <c r="B12" t="n">
        <v>2</v>
      </c>
    </row>
    <row r="13">
      <c r="A13" t="inlineStr">
        <is>
          <t>cspc_spacetime</t>
        </is>
      </c>
      <c r="B13" t="n">
        <v>6</v>
      </c>
    </row>
    <row r="14">
      <c r="A14" t="inlineStr">
        <is>
          <t>cspc_tetrahedron</t>
        </is>
      </c>
      <c r="B14" t="n">
        <v>5</v>
      </c>
    </row>
    <row r="15">
      <c r="A15" t="inlineStr">
        <is>
          <t>experiment_queue</t>
        </is>
      </c>
      <c r="B15" t="n">
        <v>8</v>
      </c>
    </row>
    <row r="16">
      <c r="A16" t="inlineStr">
        <is>
          <t>eye_results</t>
        </is>
      </c>
      <c r="B16" t="n">
        <v>2</v>
      </c>
    </row>
    <row r="17">
      <c r="A17" t="inlineStr">
        <is>
          <t>frequency_keys</t>
        </is>
      </c>
      <c r="B17" t="n">
        <v>12</v>
      </c>
    </row>
    <row r="18">
      <c r="A18" t="inlineStr">
        <is>
          <t>hardware_bom</t>
        </is>
      </c>
      <c r="B18" t="n">
        <v>8</v>
      </c>
    </row>
    <row r="19">
      <c r="A19" t="inlineStr">
        <is>
          <t>harmonic_relations</t>
        </is>
      </c>
      <c r="B19" t="n">
        <v>7</v>
      </c>
    </row>
    <row r="20">
      <c r="A20" t="inlineStr">
        <is>
          <t>hypotheses</t>
        </is>
      </c>
      <c r="B20" t="n">
        <v>6</v>
      </c>
    </row>
    <row r="21">
      <c r="A21" t="inlineStr">
        <is>
          <t>installer_metadata</t>
        </is>
      </c>
      <c r="B21" t="n">
        <v>1</v>
      </c>
    </row>
    <row r="22">
      <c r="A22" t="inlineStr">
        <is>
          <t>lore_registry</t>
        </is>
      </c>
      <c r="B22" t="n">
        <v>1</v>
      </c>
    </row>
    <row r="23">
      <c r="A23" t="inlineStr">
        <is>
          <t>mode_estimates</t>
        </is>
      </c>
      <c r="B23" t="n">
        <v>1</v>
      </c>
    </row>
    <row r="24">
      <c r="A24" t="inlineStr">
        <is>
          <t>pmwr_crystal</t>
        </is>
      </c>
      <c r="B24" t="n">
        <v>7</v>
      </c>
    </row>
    <row r="25">
      <c r="A25" t="inlineStr">
        <is>
          <t>pmwr_phryll</t>
        </is>
      </c>
      <c r="B25" t="n">
        <v>14</v>
      </c>
    </row>
    <row r="26">
      <c r="A26" t="inlineStr">
        <is>
          <t>pmwr_recovery</t>
        </is>
      </c>
      <c r="B26" t="n">
        <v>4</v>
      </c>
    </row>
    <row r="27">
      <c r="A27" t="inlineStr">
        <is>
          <t>resonator_platform</t>
        </is>
      </c>
      <c r="B27" t="n">
        <v>1</v>
      </c>
    </row>
    <row r="28">
      <c r="A28" t="inlineStr">
        <is>
          <t>source_registry</t>
        </is>
      </c>
      <c r="B28" t="n">
        <v>5</v>
      </c>
    </row>
    <row r="29">
      <c r="A29" t="inlineStr">
        <is>
          <t>specimens</t>
        </is>
      </c>
      <c r="B29" t="n">
        <v>1</v>
      </c>
    </row>
    <row r="30">
      <c r="A30" t="inlineStr">
        <is>
          <t>timing_recipes</t>
        </is>
      </c>
      <c r="B30" t="n">
        <v>11</v>
      </c>
    </row>
    <row r="31">
      <c r="A31" s="4" t="inlineStr">
        <is>
          <t>TOTAL</t>
        </is>
      </c>
      <c r="B31" s="4">
        <f>SUM(B10:B30)</f>
        <v/>
      </c>
    </row>
    <row r="33">
      <c r="A33" s="4" t="inlineStr">
        <is>
          <t>Evidence classes (weakest -&gt; strongest):</t>
        </is>
      </c>
    </row>
    <row r="34">
      <c r="A34" s="5" t="inlineStr">
        <is>
          <t>LORE</t>
        </is>
      </c>
    </row>
    <row r="35">
      <c r="A35" s="6" t="inlineStr">
        <is>
          <t>SOURCE_CLAIM</t>
        </is>
      </c>
    </row>
    <row r="36">
      <c r="A36" s="7" t="inlineStr">
        <is>
          <t>DERIVED_ARITHMETIC</t>
        </is>
      </c>
    </row>
    <row r="37">
      <c r="A37" s="8" t="inlineStr">
        <is>
          <t>ANALYTIC_MODEL</t>
        </is>
      </c>
    </row>
    <row r="38">
      <c r="A38" s="9" t="inlineStr">
        <is>
          <t>NUMERICAL_SIMULATION</t>
        </is>
      </c>
    </row>
    <row r="39">
      <c r="A39" s="10" t="inlineStr">
        <is>
          <t>SYNTHETIC_RUN</t>
        </is>
      </c>
    </row>
    <row r="40">
      <c r="A40" s="11" t="inlineStr">
        <is>
          <t>BENCH_MEASUREMENT</t>
        </is>
      </c>
    </row>
    <row r="41">
      <c r="A41" s="12" t="inlineStr">
        <is>
          <t>INDEPENDENT_REPLICATION</t>
        </is>
      </c>
    </row>
    <row r="42">
      <c r="A42" s="13" t="inlineStr">
        <is>
          <t>UNSUPPORTED</t>
        </is>
      </c>
    </row>
    <row r="43">
      <c r="A43" s="14" t="inlineStr">
        <is>
          <t>NOT_APPLICABLE</t>
        </is>
      </c>
    </row>
    <row r="44">
      <c r="A44" s="15" t="inlineStr">
        <is>
          <t>METAPHOR</t>
        </is>
      </c>
    </row>
    <row r="45">
      <c r="A45" s="16" t="inlineStr">
        <is>
          <t>GEOMETRY_IDENTITY</t>
        </is>
      </c>
    </row>
    <row r="46">
      <c r="A46" s="17" t="inlineStr">
        <is>
          <t>CALIBRATED_MEASUREMENT</t>
        </is>
      </c>
    </row>
    <row r="47">
      <c r="A47" s="18" t="inlineStr">
        <is>
          <t>ANTHROPOGENIC_STRUCTURE</t>
        </is>
      </c>
    </row>
    <row r="48">
      <c r="A48" s="19" t="inlineStr">
        <is>
          <t>REPRESENTATION_ARTIFACT</t>
        </is>
      </c>
    </row>
    <row r="49">
      <c r="A49" s="20" t="inlineStr">
        <is>
          <t>CIRCULAR_DERIVATION</t>
        </is>
      </c>
    </row>
    <row r="50">
      <c r="A50" s="21" t="inlineStr">
        <is>
          <t>UNEXPLAINED_INSTRUMENT_RESIDUAL</t>
        </is>
      </c>
    </row>
    <row r="51">
      <c r="A51" s="22" t="inlineStr">
        <is>
          <t>REPLICATED_ANOMALY</t>
        </is>
      </c>
    </row>
    <row r="52">
      <c r="A52" s="23" t="inlineStr">
        <is>
          <t>PROSPECTIVE_PREDICTION</t>
        </is>
      </c>
    </row>
  </sheetData>
  <mergeCells count="1">
    <mergeCell ref="A5:H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14" customWidth="1" min="1" max="1"/>
    <col width="15" customWidth="1" min="2" max="2"/>
    <col width="20" customWidth="1" min="3" max="3"/>
    <col width="15" customWidth="1" min="4" max="4"/>
    <col width="43" customWidth="1" min="5" max="5"/>
    <col width="10" customWidth="1" min="6" max="6"/>
    <col width="10" customWidth="1" min="7" max="7"/>
    <col width="22" customWidth="1" min="8" max="8"/>
    <col width="26" customWidth="1" min="9" max="9"/>
  </cols>
  <sheetData>
    <row r="1">
      <c r="A1" s="24" t="inlineStr">
        <is>
          <t>id</t>
        </is>
      </c>
      <c r="B1" s="24" t="inlineStr">
        <is>
          <t>kind</t>
        </is>
      </c>
      <c r="C1" s="24" t="inlineStr">
        <is>
          <t>evidence_class</t>
        </is>
      </c>
      <c r="D1" s="24" t="inlineStr">
        <is>
          <t>privacy_class</t>
        </is>
      </c>
      <c r="E1" s="24" t="inlineStr">
        <is>
          <t>provenance</t>
        </is>
      </c>
      <c r="F1" s="24" t="inlineStr">
        <is>
          <t>hz</t>
        </is>
      </c>
      <c r="G1" s="24" t="inlineStr">
        <is>
          <t>hz_float</t>
        </is>
      </c>
      <c r="H1" s="24" t="inlineStr">
        <is>
          <t>status</t>
        </is>
      </c>
      <c r="I1" s="24" t="inlineStr">
        <is>
          <t>tags</t>
        </is>
      </c>
    </row>
    <row r="2">
      <c r="A2" s="7" t="inlineStr">
        <is>
          <t>FKEY-8HZ</t>
        </is>
      </c>
      <c r="B2" s="7" t="inlineStr">
        <is>
          <t>frequency_key</t>
        </is>
      </c>
      <c r="C2" s="7" t="inlineStr">
        <is>
          <t>DERIVED_ARITHMETIC</t>
        </is>
      </c>
      <c r="D2" s="7" t="inlineStr">
        <is>
          <t>PUBLIC</t>
        </is>
      </c>
      <c r="E2" s="7" t="inlineStr">
        <is>
          <t>pack seed data (frequency_keys_seed.json)</t>
        </is>
      </c>
      <c r="F2" s="7" t="inlineStr">
        <is>
          <t>8</t>
        </is>
      </c>
      <c r="G2" s="7" t="n">
        <v>8</v>
      </c>
      <c r="H2" s="7" t="inlineStr">
        <is>
          <t>REGISTERED_CANDIDATE</t>
        </is>
      </c>
      <c r="I2" s="7" t="inlineStr">
        <is>
          <t>base,modulation</t>
        </is>
      </c>
    </row>
    <row r="3">
      <c r="A3" s="7" t="inlineStr">
        <is>
          <t>FKEY-20_48HZ</t>
        </is>
      </c>
      <c r="B3" s="7" t="inlineStr">
        <is>
          <t>frequency_key</t>
        </is>
      </c>
      <c r="C3" s="7" t="inlineStr">
        <is>
          <t>DERIVED_ARITHMETIC</t>
        </is>
      </c>
      <c r="D3" s="7" t="inlineStr">
        <is>
          <t>PUBLIC</t>
        </is>
      </c>
      <c r="E3" s="7" t="inlineStr">
        <is>
          <t>pack seed data (frequency_keys_seed.json)</t>
        </is>
      </c>
      <c r="F3" s="7" t="inlineStr">
        <is>
          <t>512/25</t>
        </is>
      </c>
      <c r="G3" s="7" t="n">
        <v>20.48</v>
      </c>
      <c r="H3" s="7" t="inlineStr">
        <is>
          <t>REGISTERED_CANDIDATE</t>
        </is>
      </c>
      <c r="I3" s="7" t="inlineStr">
        <is>
          <t>modulation,binary-family</t>
        </is>
      </c>
    </row>
    <row r="4">
      <c r="A4" s="7" t="inlineStr">
        <is>
          <t>FKEY-40_96HZ</t>
        </is>
      </c>
      <c r="B4" s="7" t="inlineStr">
        <is>
          <t>frequency_key</t>
        </is>
      </c>
      <c r="C4" s="7" t="inlineStr">
        <is>
          <t>DERIVED_ARITHMETIC</t>
        </is>
      </c>
      <c r="D4" s="7" t="inlineStr">
        <is>
          <t>PUBLIC</t>
        </is>
      </c>
      <c r="E4" s="7" t="inlineStr">
        <is>
          <t>pack seed data (frequency_keys_seed.json)</t>
        </is>
      </c>
      <c r="F4" s="7" t="inlineStr">
        <is>
          <t>1024/25</t>
        </is>
      </c>
      <c r="G4" s="7" t="n">
        <v>40.96</v>
      </c>
      <c r="H4" s="7" t="inlineStr">
        <is>
          <t>REGISTERED_CANDIDATE</t>
        </is>
      </c>
      <c r="I4" s="7" t="inlineStr">
        <is>
          <t>modulation,binary-family</t>
        </is>
      </c>
    </row>
    <row r="5">
      <c r="A5" s="6" t="inlineStr">
        <is>
          <t>FKEY-587HZ</t>
        </is>
      </c>
      <c r="B5" s="6" t="inlineStr">
        <is>
          <t>frequency_key</t>
        </is>
      </c>
      <c r="C5" s="6" t="inlineStr">
        <is>
          <t>SOURCE_CLAIM</t>
        </is>
      </c>
      <c r="D5" s="6" t="inlineStr">
        <is>
          <t>PUBLIC</t>
        </is>
      </c>
      <c r="E5" s="6" t="inlineStr">
        <is>
          <t>pack seed data (frequency_keys_seed.json)</t>
        </is>
      </c>
      <c r="F5" s="6" t="inlineStr">
        <is>
          <t>587</t>
        </is>
      </c>
      <c r="G5" s="6" t="n">
        <v>587</v>
      </c>
      <c r="H5" s="6" t="inlineStr">
        <is>
          <t>SOURCE_CLAIM</t>
        </is>
      </c>
      <c r="I5" s="6" t="inlineStr">
        <is>
          <t>sound-key</t>
        </is>
      </c>
    </row>
    <row r="6">
      <c r="A6" s="6" t="inlineStr">
        <is>
          <t>FKEY-644HZ</t>
        </is>
      </c>
      <c r="B6" s="6" t="inlineStr">
        <is>
          <t>frequency_key</t>
        </is>
      </c>
      <c r="C6" s="6" t="inlineStr">
        <is>
          <t>SOURCE_CLAIM</t>
        </is>
      </c>
      <c r="D6" s="6" t="inlineStr">
        <is>
          <t>PUBLIC</t>
        </is>
      </c>
      <c r="E6" s="6" t="inlineStr">
        <is>
          <t>pack seed data (frequency_keys_seed.json)</t>
        </is>
      </c>
      <c r="F6" s="6" t="inlineStr">
        <is>
          <t>644</t>
        </is>
      </c>
      <c r="G6" s="6" t="n">
        <v>644</v>
      </c>
      <c r="H6" s="6" t="inlineStr">
        <is>
          <t>SOURCE_CLAIM</t>
        </is>
      </c>
      <c r="I6" s="6" t="inlineStr">
        <is>
          <t>sound-key</t>
        </is>
      </c>
    </row>
    <row r="7">
      <c r="A7" s="6" t="inlineStr">
        <is>
          <t>FKEY-787HZ</t>
        </is>
      </c>
      <c r="B7" s="6" t="inlineStr">
        <is>
          <t>frequency_key</t>
        </is>
      </c>
      <c r="C7" s="6" t="inlineStr">
        <is>
          <t>SOURCE_CLAIM</t>
        </is>
      </c>
      <c r="D7" s="6" t="inlineStr">
        <is>
          <t>PUBLIC</t>
        </is>
      </c>
      <c r="E7" s="6" t="inlineStr">
        <is>
          <t>pack seed data (frequency_keys_seed.json)</t>
        </is>
      </c>
      <c r="F7" s="6" t="inlineStr">
        <is>
          <t>787</t>
        </is>
      </c>
      <c r="G7" s="6" t="n">
        <v>787</v>
      </c>
      <c r="H7" s="6" t="inlineStr">
        <is>
          <t>SOURCE_CLAIM</t>
        </is>
      </c>
      <c r="I7" s="6" t="inlineStr">
        <is>
          <t>body-mapped</t>
        </is>
      </c>
    </row>
    <row r="8">
      <c r="A8" s="6" t="inlineStr">
        <is>
          <t>FKEY-880HZ</t>
        </is>
      </c>
      <c r="B8" s="6" t="inlineStr">
        <is>
          <t>frequency_key</t>
        </is>
      </c>
      <c r="C8" s="6" t="inlineStr">
        <is>
          <t>SOURCE_CLAIM</t>
        </is>
      </c>
      <c r="D8" s="6" t="inlineStr">
        <is>
          <t>PUBLIC</t>
        </is>
      </c>
      <c r="E8" s="6" t="inlineStr">
        <is>
          <t>pack seed data (frequency_keys_seed.json)</t>
        </is>
      </c>
      <c r="F8" s="6" t="inlineStr">
        <is>
          <t>880</t>
        </is>
      </c>
      <c r="G8" s="6" t="n">
        <v>880</v>
      </c>
      <c r="H8" s="6" t="inlineStr">
        <is>
          <t>SOURCE_CLAIM</t>
        </is>
      </c>
      <c r="I8" s="6" t="inlineStr">
        <is>
          <t>body-mapped</t>
        </is>
      </c>
    </row>
    <row r="9">
      <c r="A9" s="6" t="inlineStr">
        <is>
          <t>FKEY-1496HZ</t>
        </is>
      </c>
      <c r="B9" s="6" t="inlineStr">
        <is>
          <t>frequency_key</t>
        </is>
      </c>
      <c r="C9" s="6" t="inlineStr">
        <is>
          <t>SOURCE_CLAIM</t>
        </is>
      </c>
      <c r="D9" s="6" t="inlineStr">
        <is>
          <t>PUBLIC</t>
        </is>
      </c>
      <c r="E9" s="6" t="inlineStr">
        <is>
          <t>pack seed data (frequency_keys_seed.json)</t>
        </is>
      </c>
      <c r="F9" s="6" t="inlineStr">
        <is>
          <t>1496</t>
        </is>
      </c>
      <c r="G9" s="6" t="n">
        <v>1496</v>
      </c>
      <c r="H9" s="6" t="inlineStr">
        <is>
          <t>SOURCE_CLAIM</t>
        </is>
      </c>
      <c r="I9" s="6" t="inlineStr">
        <is>
          <t>sound-key</t>
        </is>
      </c>
    </row>
    <row r="10">
      <c r="A10" s="7" t="inlineStr">
        <is>
          <t>FKEY-4096HZ</t>
        </is>
      </c>
      <c r="B10" s="7" t="inlineStr">
        <is>
          <t>frequency_key</t>
        </is>
      </c>
      <c r="C10" s="7" t="inlineStr">
        <is>
          <t>DERIVED_ARITHMETIC</t>
        </is>
      </c>
      <c r="D10" s="7" t="inlineStr">
        <is>
          <t>PUBLIC</t>
        </is>
      </c>
      <c r="E10" s="7" t="inlineStr">
        <is>
          <t>pack seed data (frequency_keys_seed.json)</t>
        </is>
      </c>
      <c r="F10" s="7" t="inlineStr">
        <is>
          <t>4096</t>
        </is>
      </c>
      <c r="G10" s="7" t="n">
        <v>4096</v>
      </c>
      <c r="H10" s="7" t="inlineStr">
        <is>
          <t>REGISTERED_CANDIDATE</t>
        </is>
      </c>
      <c r="I10" s="7" t="inlineStr">
        <is>
          <t>crystal-tuner,clock</t>
        </is>
      </c>
    </row>
    <row r="11">
      <c r="A11" s="7" t="inlineStr">
        <is>
          <t>FKEY-20480HZ</t>
        </is>
      </c>
      <c r="B11" s="7" t="inlineStr">
        <is>
          <t>frequency_key</t>
        </is>
      </c>
      <c r="C11" s="7" t="inlineStr">
        <is>
          <t>DERIVED_ARITHMETIC</t>
        </is>
      </c>
      <c r="D11" s="7" t="inlineStr">
        <is>
          <t>PUBLIC</t>
        </is>
      </c>
      <c r="E11" s="7" t="inlineStr">
        <is>
          <t>pack seed data (frequency_keys_seed.json)</t>
        </is>
      </c>
      <c r="F11" s="7" t="inlineStr">
        <is>
          <t>20480</t>
        </is>
      </c>
      <c r="G11" s="7" t="n">
        <v>20480</v>
      </c>
      <c r="H11" s="7" t="inlineStr">
        <is>
          <t>REGISTERED_TARGET</t>
        </is>
      </c>
      <c r="I11" s="7" t="inlineStr">
        <is>
          <t>target,octave-family</t>
        </is>
      </c>
    </row>
    <row r="12">
      <c r="A12" s="7" t="inlineStr">
        <is>
          <t>FKEY-32768HZ</t>
        </is>
      </c>
      <c r="B12" s="7" t="inlineStr">
        <is>
          <t>frequency_key</t>
        </is>
      </c>
      <c r="C12" s="7" t="inlineStr">
        <is>
          <t>DERIVED_ARITHMETIC</t>
        </is>
      </c>
      <c r="D12" s="7" t="inlineStr">
        <is>
          <t>PUBLIC</t>
        </is>
      </c>
      <c r="E12" s="7" t="inlineStr">
        <is>
          <t>pack seed data (frequency_keys_seed.json)</t>
        </is>
      </c>
      <c r="F12" s="7" t="inlineStr">
        <is>
          <t>32768</t>
        </is>
      </c>
      <c r="G12" s="7" t="n">
        <v>32768</v>
      </c>
      <c r="H12" s="7" t="inlineStr">
        <is>
          <t>REGISTERED_CANDIDATE</t>
        </is>
      </c>
      <c r="I12" s="7" t="inlineStr">
        <is>
          <t>crystal-clock</t>
        </is>
      </c>
    </row>
    <row r="13">
      <c r="A13" s="7" t="inlineStr">
        <is>
          <t>FKEY-40960HZ</t>
        </is>
      </c>
      <c r="B13" s="7" t="inlineStr">
        <is>
          <t>frequency_key</t>
        </is>
      </c>
      <c r="C13" s="7" t="inlineStr">
        <is>
          <t>DERIVED_ARITHMETIC</t>
        </is>
      </c>
      <c r="D13" s="7" t="inlineStr">
        <is>
          <t>PUBLIC</t>
        </is>
      </c>
      <c r="E13" s="7" t="inlineStr">
        <is>
          <t>pack seed data (frequency_keys_seed.json)</t>
        </is>
      </c>
      <c r="F13" s="7" t="inlineStr">
        <is>
          <t>40960</t>
        </is>
      </c>
      <c r="G13" s="7" t="n">
        <v>40960</v>
      </c>
      <c r="H13" s="7" t="inlineStr">
        <is>
          <t>REGISTERED_TARGET</t>
        </is>
      </c>
      <c r="I13" s="7" t="inlineStr">
        <is>
          <t>target,octave-family</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M8"/>
  <sheetViews>
    <sheetView workbookViewId="0">
      <pane ySplit="1" topLeftCell="A2" activePane="bottomLeft" state="frozen"/>
      <selection pane="bottomLeft" activeCell="A1" sqref="A1"/>
    </sheetView>
  </sheetViews>
  <sheetFormatPr baseColWidth="8" defaultRowHeight="15"/>
  <cols>
    <col width="16" customWidth="1" min="1" max="1"/>
    <col width="20" customWidth="1" min="2" max="2"/>
    <col width="20" customWidth="1" min="3" max="3"/>
    <col width="15" customWidth="1" min="4" max="4"/>
    <col width="42" customWidth="1" min="5" max="5"/>
    <col width="32" customWidth="1" min="6" max="6"/>
    <col width="11" customWidth="1" min="7" max="7"/>
    <col width="11" customWidth="1" min="8" max="8"/>
    <col width="24" customWidth="1" min="9" max="9"/>
    <col width="10" customWidth="1" min="10" max="10"/>
    <col width="10" customWidth="1" min="11" max="11"/>
    <col width="14" customWidth="1" min="12" max="12"/>
    <col width="60" customWidth="1" min="13" max="13"/>
  </cols>
  <sheetData>
    <row r="1">
      <c r="A1" s="24" t="inlineStr">
        <is>
          <t>id</t>
        </is>
      </c>
      <c r="B1" s="24" t="inlineStr">
        <is>
          <t>kind</t>
        </is>
      </c>
      <c r="C1" s="24" t="inlineStr">
        <is>
          <t>evidence_class</t>
        </is>
      </c>
      <c r="D1" s="24" t="inlineStr">
        <is>
          <t>privacy_class</t>
        </is>
      </c>
      <c r="E1" s="24" t="inlineStr">
        <is>
          <t>provenance</t>
        </is>
      </c>
      <c r="F1" s="24" t="inlineStr">
        <is>
          <t>expression</t>
        </is>
      </c>
      <c r="G1" s="24" t="inlineStr">
        <is>
          <t>output_hz</t>
        </is>
      </c>
      <c r="H1" s="24" t="inlineStr">
        <is>
          <t>target_hz</t>
        </is>
      </c>
      <c r="I1" s="24" t="inlineStr">
        <is>
          <t>primary_class</t>
        </is>
      </c>
      <c r="J1" s="24" t="inlineStr">
        <is>
          <t>order</t>
        </is>
      </c>
      <c r="K1" s="24" t="inlineStr">
        <is>
          <t>exact</t>
        </is>
      </c>
      <c r="L1" s="24" t="inlineStr">
        <is>
          <t>abs_error_hz</t>
        </is>
      </c>
      <c r="M1" s="24" t="inlineStr">
        <is>
          <t>note</t>
        </is>
      </c>
    </row>
    <row r="2">
      <c r="A2" s="7" t="inlineStr">
        <is>
          <t>REL-ea3c529a85</t>
        </is>
      </c>
      <c r="B2" s="7" t="inlineStr">
        <is>
          <t>frequency_relation</t>
        </is>
      </c>
      <c r="C2" s="7" t="inlineStr">
        <is>
          <t>DERIVED_ARITHMETIC</t>
        </is>
      </c>
      <c r="D2" s="7" t="inlineStr">
        <is>
          <t>PUBLIC</t>
        </is>
      </c>
      <c r="E2" s="7" t="inlineStr">
        <is>
          <t>fkey_instrument.relations.seed_relations</t>
        </is>
      </c>
      <c r="F2" s="7" t="inlineStr">
        <is>
          <t>5x4096</t>
        </is>
      </c>
      <c r="G2" s="7" t="inlineStr">
        <is>
          <t>20480</t>
        </is>
      </c>
      <c r="H2" s="7" t="inlineStr">
        <is>
          <t>20480</t>
        </is>
      </c>
      <c r="I2" s="7" t="inlineStr">
        <is>
          <t>HARMONIC</t>
        </is>
      </c>
      <c r="J2" s="7" t="n">
        <v>5</v>
      </c>
      <c r="K2" s="7" t="b">
        <v>1</v>
      </c>
      <c r="L2" s="7" t="inlineStr">
        <is>
          <t>0</t>
        </is>
      </c>
      <c r="M2" s="7" t="inlineStr">
        <is>
          <t>order-5 harmonic: a nonsinusoidal drive at 4096 Hz can physically contain this line (an ideal sine cannot; a 50% square carries odd harmonics at 1/k amplitude)</t>
        </is>
      </c>
    </row>
    <row r="3">
      <c r="A3" s="7" t="inlineStr">
        <is>
          <t>REL-5a7ccd19df</t>
        </is>
      </c>
      <c r="B3" s="7" t="inlineStr">
        <is>
          <t>frequency_relation</t>
        </is>
      </c>
      <c r="C3" s="7" t="inlineStr">
        <is>
          <t>DERIVED_ARITHMETIC</t>
        </is>
      </c>
      <c r="D3" s="7" t="inlineStr">
        <is>
          <t>PUBLIC</t>
        </is>
      </c>
      <c r="E3" s="7" t="inlineStr">
        <is>
          <t>fkey_instrument.relations.seed_relations</t>
        </is>
      </c>
      <c r="F3" s="7" t="inlineStr">
        <is>
          <t>500x1024/25</t>
        </is>
      </c>
      <c r="G3" s="7" t="inlineStr">
        <is>
          <t>20480</t>
        </is>
      </c>
      <c r="H3" s="7" t="inlineStr">
        <is>
          <t>20480</t>
        </is>
      </c>
      <c r="I3" s="7" t="inlineStr">
        <is>
          <t>PHASE_CLOSURE_ONLY</t>
        </is>
      </c>
      <c r="J3" s="7" t="n">
        <v>500</v>
      </c>
      <c r="K3" s="7" t="b">
        <v>1</v>
      </c>
      <c r="L3" s="7" t="inlineStr">
        <is>
          <t>0</t>
        </is>
      </c>
      <c r="M3" s="7" t="inlineStr">
        <is>
          <t>exact x500 but order 500 far exceeds any practical harmonic content (&gt; 15); the relation is a timing/phase-closure statement, not a spectral generation mechanism</t>
        </is>
      </c>
    </row>
    <row r="4">
      <c r="A4" s="7" t="inlineStr">
        <is>
          <t>REL-85c58122e8</t>
        </is>
      </c>
      <c r="B4" s="7" t="inlineStr">
        <is>
          <t>frequency_relation</t>
        </is>
      </c>
      <c r="C4" s="7" t="inlineStr">
        <is>
          <t>DERIVED_ARITHMETIC</t>
        </is>
      </c>
      <c r="D4" s="7" t="inlineStr">
        <is>
          <t>PUBLIC</t>
        </is>
      </c>
      <c r="E4" s="7" t="inlineStr">
        <is>
          <t>fkey_instrument.relations.seed_relations</t>
        </is>
      </c>
      <c r="F4" s="7" t="inlineStr">
        <is>
          <t>1000x512/25</t>
        </is>
      </c>
      <c r="G4" s="7" t="inlineStr">
        <is>
          <t>20480</t>
        </is>
      </c>
      <c r="H4" s="7" t="inlineStr">
        <is>
          <t>20480</t>
        </is>
      </c>
      <c r="I4" s="7" t="inlineStr">
        <is>
          <t>PHASE_CLOSURE_ONLY</t>
        </is>
      </c>
      <c r="J4" s="7" t="n">
        <v>1000</v>
      </c>
      <c r="K4" s="7" t="b">
        <v>1</v>
      </c>
      <c r="L4" s="7" t="inlineStr">
        <is>
          <t>0</t>
        </is>
      </c>
      <c r="M4" s="7" t="inlineStr">
        <is>
          <t>exact x1000 but order 1000 far exceeds any practical harmonic content (&gt; 15); the relation is a timing/phase-closure statement, not a spectral generation mechanism</t>
        </is>
      </c>
    </row>
    <row r="5">
      <c r="A5" s="7" t="inlineStr">
        <is>
          <t>REL-0092caed60</t>
        </is>
      </c>
      <c r="B5" s="7" t="inlineStr">
        <is>
          <t>frequency_relation</t>
        </is>
      </c>
      <c r="C5" s="7" t="inlineStr">
        <is>
          <t>DERIVED_ARITHMETIC</t>
        </is>
      </c>
      <c r="D5" s="7" t="inlineStr">
        <is>
          <t>PUBLIC</t>
        </is>
      </c>
      <c r="E5" s="7" t="inlineStr">
        <is>
          <t>fkey_instrument.relations.seed_relations</t>
        </is>
      </c>
      <c r="F5" s="7" t="inlineStr">
        <is>
          <t>2535x8</t>
        </is>
      </c>
      <c r="G5" s="7" t="inlineStr">
        <is>
          <t>20280</t>
        </is>
      </c>
      <c r="H5" s="7" t="inlineStr">
        <is>
          <t>20280</t>
        </is>
      </c>
      <c r="I5" s="7" t="inlineStr">
        <is>
          <t>PHASE_CLOSURE_ONLY</t>
        </is>
      </c>
      <c r="J5" s="7" t="n">
        <v>2535</v>
      </c>
      <c r="K5" s="7" t="b">
        <v>1</v>
      </c>
      <c r="L5" s="7" t="inlineStr">
        <is>
          <t>0</t>
        </is>
      </c>
      <c r="M5" s="7" t="inlineStr">
        <is>
          <t>exact x2535 but order 2535 far exceeds any practical harmonic content (&gt; 15); the relation is a timing/phase-closure statement, not a spectral generation mechanism</t>
        </is>
      </c>
    </row>
    <row r="6">
      <c r="A6" s="7" t="inlineStr">
        <is>
          <t>REL-9d7b6631d4</t>
        </is>
      </c>
      <c r="B6" s="7" t="inlineStr">
        <is>
          <t>frequency_relation</t>
        </is>
      </c>
      <c r="C6" s="7" t="inlineStr">
        <is>
          <t>DERIVED_ARITHMETIC</t>
        </is>
      </c>
      <c r="D6" s="7" t="inlineStr">
        <is>
          <t>PUBLIC</t>
        </is>
      </c>
      <c r="E6" s="7" t="inlineStr">
        <is>
          <t>fkey_instrument.relations.seed_relations</t>
        </is>
      </c>
      <c r="F6" s="7" t="inlineStr">
        <is>
          <t>2560x8</t>
        </is>
      </c>
      <c r="G6" s="7" t="inlineStr">
        <is>
          <t>20480</t>
        </is>
      </c>
      <c r="H6" s="7" t="inlineStr">
        <is>
          <t>20480</t>
        </is>
      </c>
      <c r="I6" s="7" t="inlineStr">
        <is>
          <t>PHASE_CLOSURE_ONLY</t>
        </is>
      </c>
      <c r="J6" s="7" t="n">
        <v>2560</v>
      </c>
      <c r="K6" s="7" t="b">
        <v>1</v>
      </c>
      <c r="L6" s="7" t="inlineStr">
        <is>
          <t>0</t>
        </is>
      </c>
      <c r="M6" s="7" t="inlineStr">
        <is>
          <t>exact x2560 but order 2560 far exceeds any practical harmonic content (&gt; 15); the relation is a timing/phase-closure statement, not a spectral generation mechanism</t>
        </is>
      </c>
    </row>
    <row r="7">
      <c r="A7" s="7" t="inlineStr">
        <is>
          <t>REL-ce4ace827a</t>
        </is>
      </c>
      <c r="B7" s="7" t="inlineStr">
        <is>
          <t>frequency_relation</t>
        </is>
      </c>
      <c r="C7" s="7" t="inlineStr">
        <is>
          <t>DERIVED_ARITHMETIC</t>
        </is>
      </c>
      <c r="D7" s="7" t="inlineStr">
        <is>
          <t>PUBLIC</t>
        </is>
      </c>
      <c r="E7" s="7" t="inlineStr">
        <is>
          <t>fkey_instrument.relations.seed_relations</t>
        </is>
      </c>
      <c r="F7" s="7" t="inlineStr">
        <is>
          <t>3x644 + 4x787 + 9x880 + 5x1496</t>
        </is>
      </c>
      <c r="G7" s="7" t="inlineStr">
        <is>
          <t>20480</t>
        </is>
      </c>
      <c r="H7" s="7" t="inlineStr">
        <is>
          <t>20480</t>
        </is>
      </c>
      <c r="I7" s="7" t="inlineStr">
        <is>
          <t>ARITHMETIC_COINCIDENCE</t>
        </is>
      </c>
      <c r="J7" s="7" t="n">
        <v>21</v>
      </c>
      <c r="K7" s="7" t="b">
        <v>1</v>
      </c>
      <c r="L7" s="7" t="inlineStr">
        <is>
          <t>0</t>
        </is>
      </c>
      <c r="M7" s="7" t="inlineStr">
        <is>
          <t>arithmetic identity of mixing order 21: no realistic nonlinearity produces a usable component at this order; the sum is bookkeeping, not an emitted frequency</t>
        </is>
      </c>
    </row>
    <row r="8">
      <c r="A8" s="7" t="inlineStr">
        <is>
          <t>REL-d88fa855e3</t>
        </is>
      </c>
      <c r="B8" s="7" t="inlineStr">
        <is>
          <t>frequency_relation</t>
        </is>
      </c>
      <c r="C8" s="7" t="inlineStr">
        <is>
          <t>DERIVED_ARITHMETIC</t>
        </is>
      </c>
      <c r="D8" s="7" t="inlineStr">
        <is>
          <t>PUBLIC</t>
        </is>
      </c>
      <c r="E8" s="7" t="inlineStr">
        <is>
          <t>fkey_instrument.relations.seed_relations</t>
        </is>
      </c>
      <c r="F8" s="7" t="inlineStr">
        <is>
          <t>1x1496 + 32x587</t>
        </is>
      </c>
      <c r="G8" s="7" t="inlineStr">
        <is>
          <t>20280</t>
        </is>
      </c>
      <c r="H8" s="7" t="inlineStr">
        <is>
          <t>20280</t>
        </is>
      </c>
      <c r="I8" s="7" t="inlineStr">
        <is>
          <t>ARITHMETIC_COINCIDENCE</t>
        </is>
      </c>
      <c r="J8" s="7" t="n">
        <v>33</v>
      </c>
      <c r="K8" s="7" t="b">
        <v>1</v>
      </c>
      <c r="L8" s="7" t="inlineStr">
        <is>
          <t>0</t>
        </is>
      </c>
      <c r="M8" s="7" t="inlineStr">
        <is>
          <t>arithmetic identity of mixing order 33: no realistic nonlinearity produces a usable component at this order; the sum is bookkeeping, not an emitted frequency</t>
        </is>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K2"/>
  <sheetViews>
    <sheetView workbookViewId="0">
      <pane ySplit="1" topLeftCell="A2" activePane="bottomLeft" state="frozen"/>
      <selection pane="bottomLeft" activeCell="A1" sqref="A1"/>
    </sheetView>
  </sheetViews>
  <sheetFormatPr baseColWidth="8" defaultRowHeight="15"/>
  <cols>
    <col width="33" customWidth="1" min="1" max="1"/>
    <col width="19" customWidth="1" min="2" max="2"/>
    <col width="16" customWidth="1" min="3" max="3"/>
    <col width="15" customWidth="1" min="4" max="4"/>
    <col width="36" customWidth="1" min="5" max="5"/>
    <col width="10" customWidth="1" min="6" max="6"/>
    <col width="23" customWidth="1" min="7" max="7"/>
    <col width="11" customWidth="1" min="8" max="8"/>
    <col width="10" customWidth="1" min="9" max="9"/>
    <col width="18" customWidth="1" min="10" max="10"/>
    <col width="60" customWidth="1" min="11" max="11"/>
  </cols>
  <sheetData>
    <row r="1">
      <c r="A1" s="24" t="inlineStr">
        <is>
          <t>id</t>
        </is>
      </c>
      <c r="B1" s="24" t="inlineStr">
        <is>
          <t>kind</t>
        </is>
      </c>
      <c r="C1" s="24" t="inlineStr">
        <is>
          <t>evidence_class</t>
        </is>
      </c>
      <c r="D1" s="24" t="inlineStr">
        <is>
          <t>privacy_class</t>
        </is>
      </c>
      <c r="E1" s="24" t="inlineStr">
        <is>
          <t>provenance</t>
        </is>
      </c>
      <c r="F1" s="24" t="inlineStr">
        <is>
          <t>revision</t>
        </is>
      </c>
      <c r="G1" s="24" t="inlineStr">
        <is>
          <t>status</t>
        </is>
      </c>
      <c r="H1" s="24" t="inlineStr">
        <is>
          <t>length_mm</t>
        </is>
      </c>
      <c r="I1" s="24" t="inlineStr">
        <is>
          <t>facets</t>
        </is>
      </c>
      <c r="J1" s="24" t="inlineStr">
        <is>
          <t>material_claim</t>
        </is>
      </c>
      <c r="K1" s="24" t="inlineStr">
        <is>
          <t>warning</t>
        </is>
      </c>
    </row>
    <row r="2">
      <c r="A2" s="6" t="inlineStr">
        <is>
          <t>SP-EBAY-137330949270-PREARRIVAL</t>
        </is>
      </c>
      <c r="B2" s="6" t="inlineStr">
        <is>
          <t>specimen_revision</t>
        </is>
      </c>
      <c r="C2" s="6" t="inlineStr">
        <is>
          <t>SOURCE_CLAIM</t>
        </is>
      </c>
      <c r="D2" s="6" t="inlineStr">
        <is>
          <t>PUBLIC_SAFE</t>
        </is>
      </c>
      <c r="E2" s="6" t="inlineStr">
        <is>
          <t>pack data specimen_prearrival.json</t>
        </is>
      </c>
      <c r="F2" s="6" t="n">
        <v>1</v>
      </c>
      <c r="G2" s="6" t="inlineStr">
        <is>
          <t>PREARRIVAL_UNVERIFIED</t>
        </is>
      </c>
      <c r="H2" s="6" t="inlineStr">
        <is>
          <t>77.8</t>
        </is>
      </c>
      <c r="I2" s="6" t="n">
        <v>6</v>
      </c>
      <c r="J2" s="6" t="inlineStr">
        <is>
          <t>Himalayan quartz</t>
        </is>
      </c>
      <c r="K2" s="6" t="inlineStr">
        <is>
          <t>Seller dimensions and material claims are not measurements.</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J2"/>
  <sheetViews>
    <sheetView workbookViewId="0">
      <pane ySplit="1" topLeftCell="A2" activePane="bottomLeft" state="frozen"/>
      <selection pane="bottomLeft" activeCell="A1" sqref="A1"/>
    </sheetView>
  </sheetViews>
  <sheetFormatPr baseColWidth="8" defaultRowHeight="15"/>
  <cols>
    <col width="16"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50" customWidth="1" min="10" max="10"/>
  </cols>
  <sheetData>
    <row r="1">
      <c r="A1" s="25" t="inlineStr">
        <is>
          <t>id</t>
        </is>
      </c>
      <c r="B1" s="25" t="inlineStr">
        <is>
          <t>evidence_class</t>
        </is>
      </c>
      <c r="C1" s="25" t="inlineStr">
        <is>
          <t>model_level</t>
        </is>
      </c>
      <c r="D1" s="25" t="inlineStr">
        <is>
          <t>quarter_wave_hz</t>
        </is>
      </c>
      <c r="E1" s="25" t="inlineStr">
        <is>
          <t>half_wave_hz</t>
        </is>
      </c>
      <c r="F1" s="25" t="inlineStr">
        <is>
          <t>target_hz</t>
        </is>
      </c>
      <c r="G1" s="25" t="inlineStr">
        <is>
          <t>rel_error_formula</t>
        </is>
      </c>
      <c r="H1" s="25" t="inlineStr">
        <is>
          <t>band_lo_hz</t>
        </is>
      </c>
      <c r="I1" s="25" t="inlineStr">
        <is>
          <t>band_hi_hz</t>
        </is>
      </c>
      <c r="J1" s="25" t="inlineStr">
        <is>
          <t>note</t>
        </is>
      </c>
    </row>
    <row r="2">
      <c r="A2" s="8" t="inlineStr">
        <is>
          <t>MODE-91374d03b8</t>
        </is>
      </c>
      <c r="B2" s="8" t="inlineStr">
        <is>
          <t>ANALYTIC_MODEL</t>
        </is>
      </c>
      <c r="C2" s="8" t="inlineStr">
        <is>
          <t>LEVEL0_1D_ROD_SCREENING</t>
        </is>
      </c>
      <c r="D2" s="8" t="n">
        <v>20278.95924164524</v>
      </c>
      <c r="E2" s="8" t="n">
        <v>40557.91848329049</v>
      </c>
      <c r="F2" s="8" t="n">
        <v>20480</v>
      </c>
      <c r="G2" s="8">
        <f>(F2-D2)/F2</f>
        <v/>
      </c>
      <c r="H2" s="8" t="n">
        <v>19647.74231900255</v>
      </c>
      <c r="I2" s="8" t="n">
        <v>20922.42399777361</v>
      </c>
      <c r="J2" s="8" t="inlineStr">
        <is>
          <t>search band, not a magic frequency; seller geometry, unmeasured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12"/>
  <sheetViews>
    <sheetView workbookViewId="0">
      <pane ySplit="1" topLeftCell="A2" activePane="bottomLeft" state="frozen"/>
      <selection pane="bottomLeft" activeCell="A1" sqref="A1"/>
    </sheetView>
  </sheetViews>
  <sheetFormatPr baseColWidth="8" defaultRowHeight="15"/>
  <cols>
    <col width="16" customWidth="1" min="1" max="1"/>
    <col width="10" customWidth="1" min="2" max="2"/>
    <col width="16" customWidth="1" min="3" max="3"/>
    <col width="15" customWidth="1" min="4" max="4"/>
    <col width="46" customWidth="1" min="5" max="5"/>
    <col width="24" customWidth="1" min="6" max="6"/>
    <col width="14" customWidth="1" min="7" max="7"/>
    <col width="31" customWidth="1" min="8" max="8"/>
    <col width="10" customWidth="1" min="9" max="9"/>
    <col width="27" customWidth="1" min="10" max="10"/>
    <col width="12" customWidth="1" min="11" max="11"/>
  </cols>
  <sheetData>
    <row r="1">
      <c r="A1" s="24" t="inlineStr">
        <is>
          <t>id</t>
        </is>
      </c>
      <c r="B1" s="24" t="inlineStr">
        <is>
          <t>kind</t>
        </is>
      </c>
      <c r="C1" s="24" t="inlineStr">
        <is>
          <t>evidence_class</t>
        </is>
      </c>
      <c r="D1" s="24" t="inlineStr">
        <is>
          <t>privacy_class</t>
        </is>
      </c>
      <c r="E1" s="24" t="inlineStr">
        <is>
          <t>provenance</t>
        </is>
      </c>
      <c r="F1" s="24" t="inlineStr">
        <is>
          <t>family</t>
        </is>
      </c>
      <c r="G1" s="24" t="inlineStr">
        <is>
          <t>frequency_hz</t>
        </is>
      </c>
      <c r="H1" s="24" t="inlineStr">
        <is>
          <t>mechanism</t>
        </is>
      </c>
      <c r="I1" s="24" t="inlineStr">
        <is>
          <t>order</t>
        </is>
      </c>
      <c r="J1" s="24" t="inlineStr">
        <is>
          <t>hypothesis</t>
        </is>
      </c>
      <c r="K1" s="24" t="inlineStr">
        <is>
          <t>is_control</t>
        </is>
      </c>
    </row>
    <row r="2">
      <c r="A2" s="8" t="inlineStr">
        <is>
          <t>RCP-a1a5271213</t>
        </is>
      </c>
      <c r="B2" s="8" t="inlineStr">
        <is>
          <t>sine</t>
        </is>
      </c>
      <c r="C2" s="8" t="inlineStr">
        <is>
          <t>ANALYTIC_MODEL</t>
        </is>
      </c>
      <c r="D2" s="8" t="inlineStr">
        <is>
          <t>PUBLIC</t>
        </is>
      </c>
      <c r="E2" s="8" t="inlineStr">
        <is>
          <t>fkey_instrument.optimizer.candidate_families</t>
        </is>
      </c>
      <c r="F2" s="8" t="inlineStr">
        <is>
          <t>direct_sine_target</t>
        </is>
      </c>
      <c r="G2" s="8" t="inlineStr">
        <is>
          <t>20480</t>
        </is>
      </c>
      <c r="H2" s="8" t="inlineStr">
        <is>
          <t>HARMONIC</t>
        </is>
      </c>
      <c r="I2" s="8" t="n">
        <v>1</v>
      </c>
      <c r="J2" s="8" t="inlineStr">
        <is>
          <t>H-EQUIV-SPECTRUM-01</t>
        </is>
      </c>
      <c r="K2" s="8" t="b">
        <v>0</v>
      </c>
    </row>
    <row r="3">
      <c r="A3" s="8" t="inlineStr">
        <is>
          <t>RCP-f1a8aecd3f</t>
        </is>
      </c>
      <c r="B3" s="8" t="inlineStr">
        <is>
          <t>square</t>
        </is>
      </c>
      <c r="C3" s="8" t="inlineStr">
        <is>
          <t>ANALYTIC_MODEL</t>
        </is>
      </c>
      <c r="D3" s="8" t="inlineStr">
        <is>
          <t>PUBLIC</t>
        </is>
      </c>
      <c r="E3" s="8" t="inlineStr">
        <is>
          <t>fkey_instrument.optimizer.candidate_families</t>
        </is>
      </c>
      <c r="F3" s="8" t="inlineStr">
        <is>
          <t>direct_square_target</t>
        </is>
      </c>
      <c r="G3" s="8" t="inlineStr">
        <is>
          <t>20480</t>
        </is>
      </c>
      <c r="H3" s="8" t="inlineStr">
        <is>
          <t>HARMONIC</t>
        </is>
      </c>
      <c r="I3" s="8" t="n">
        <v>1</v>
      </c>
      <c r="J3" s="8" t="inlineStr">
        <is>
          <t>H-EQUIV-SPECTRUM-01</t>
        </is>
      </c>
      <c r="K3" s="8" t="b">
        <v>0</v>
      </c>
    </row>
    <row r="4">
      <c r="A4" s="8" t="inlineStr">
        <is>
          <t>RCP-e09e2e06d1</t>
        </is>
      </c>
      <c r="B4" s="8" t="inlineStr">
        <is>
          <t>sine</t>
        </is>
      </c>
      <c r="C4" s="8" t="inlineStr">
        <is>
          <t>ANALYTIC_MODEL</t>
        </is>
      </c>
      <c r="D4" s="8" t="inlineStr">
        <is>
          <t>PUBLIC</t>
        </is>
      </c>
      <c r="E4" s="8" t="inlineStr">
        <is>
          <t>fkey_instrument.optimizer.candidate_families</t>
        </is>
      </c>
      <c r="F4" s="8" t="inlineStr">
        <is>
          <t>clock_sine_4096</t>
        </is>
      </c>
      <c r="G4" s="8" t="inlineStr">
        <is>
          <t>4096</t>
        </is>
      </c>
      <c r="H4" s="8" t="inlineStr">
        <is>
          <t>PHASE_CLOSURE_ONLY</t>
        </is>
      </c>
      <c r="I4" s="8" t="n">
        <v>5</v>
      </c>
      <c r="J4" s="8" t="inlineStr">
        <is>
          <t>H-KEY-HARMONIC-01</t>
        </is>
      </c>
      <c r="K4" s="8" t="b">
        <v>0</v>
      </c>
    </row>
    <row r="5">
      <c r="A5" s="8" t="inlineStr">
        <is>
          <t>RCP-22f5a02776</t>
        </is>
      </c>
      <c r="B5" s="8" t="inlineStr">
        <is>
          <t>square</t>
        </is>
      </c>
      <c r="C5" s="8" t="inlineStr">
        <is>
          <t>ANALYTIC_MODEL</t>
        </is>
      </c>
      <c r="D5" s="8" t="inlineStr">
        <is>
          <t>PUBLIC</t>
        </is>
      </c>
      <c r="E5" s="8" t="inlineStr">
        <is>
          <t>fkey_instrument.optimizer.candidate_families</t>
        </is>
      </c>
      <c r="F5" s="8" t="inlineStr">
        <is>
          <t>clock_square_4096</t>
        </is>
      </c>
      <c r="G5" s="8" t="inlineStr">
        <is>
          <t>4096</t>
        </is>
      </c>
      <c r="H5" s="8" t="inlineStr">
        <is>
          <t>SUBHARMONIC_CLOCK</t>
        </is>
      </c>
      <c r="I5" s="8" t="n">
        <v>5</v>
      </c>
      <c r="J5" s="8" t="inlineStr">
        <is>
          <t>H-KEY-HARMONIC-01</t>
        </is>
      </c>
      <c r="K5" s="8" t="b">
        <v>0</v>
      </c>
    </row>
    <row r="6">
      <c r="A6" s="8" t="inlineStr">
        <is>
          <t>RCP-b76cef72fa</t>
        </is>
      </c>
      <c r="B6" s="8" t="inlineStr">
        <is>
          <t>sine</t>
        </is>
      </c>
      <c r="C6" s="8" t="inlineStr">
        <is>
          <t>ANALYTIC_MODEL</t>
        </is>
      </c>
      <c r="D6" s="8" t="inlineStr">
        <is>
          <t>PUBLIC</t>
        </is>
      </c>
      <c r="E6" s="8" t="inlineStr">
        <is>
          <t>fkey_instrument.optimizer.candidate_families</t>
        </is>
      </c>
      <c r="F6" s="8" t="inlineStr">
        <is>
          <t>resonance_locked_sine</t>
        </is>
      </c>
      <c r="G6" s="8" t="inlineStr">
        <is>
          <t>20278.96</t>
        </is>
      </c>
      <c r="H6" s="8" t="inlineStr">
        <is>
          <t>MEASURED_RESONANCE_MATCH</t>
        </is>
      </c>
      <c r="I6" s="8" t="n">
        <v>1</v>
      </c>
      <c r="J6" s="8" t="inlineStr">
        <is>
          <t>H-RESONANCE-LOCK-01</t>
        </is>
      </c>
      <c r="K6" s="8" t="b">
        <v>0</v>
      </c>
    </row>
    <row r="7">
      <c r="A7" s="8" t="inlineStr">
        <is>
          <t>RCP-9ebb2c238b</t>
        </is>
      </c>
      <c r="B7" s="8" t="inlineStr">
        <is>
          <t>square</t>
        </is>
      </c>
      <c r="C7" s="8" t="inlineStr">
        <is>
          <t>ANALYTIC_MODEL</t>
        </is>
      </c>
      <c r="D7" s="8" t="inlineStr">
        <is>
          <t>PUBLIC</t>
        </is>
      </c>
      <c r="E7" s="8" t="inlineStr">
        <is>
          <t>fkey_instrument.optimizer.candidate_families</t>
        </is>
      </c>
      <c r="F7" s="8" t="inlineStr">
        <is>
          <t>resonance_locked_clock</t>
        </is>
      </c>
      <c r="G7" s="8" t="inlineStr">
        <is>
          <t>506974/125</t>
        </is>
      </c>
      <c r="H7" s="8" t="inlineStr">
        <is>
          <t>SUBHARMONIC_CLOCK</t>
        </is>
      </c>
      <c r="I7" s="8" t="n">
        <v>5</v>
      </c>
      <c r="J7" s="8" t="inlineStr">
        <is>
          <t>H-RESONANCE-LOCK-01</t>
        </is>
      </c>
      <c r="K7" s="8" t="b">
        <v>0</v>
      </c>
    </row>
    <row r="8">
      <c r="A8" s="8" t="inlineStr">
        <is>
          <t>RCP-be4978f5dd</t>
        </is>
      </c>
      <c r="B8" s="8" t="inlineStr">
        <is>
          <t>sine</t>
        </is>
      </c>
      <c r="C8" s="8" t="inlineStr">
        <is>
          <t>ANALYTIC_MODEL</t>
        </is>
      </c>
      <c r="D8" s="8" t="inlineStr">
        <is>
          <t>PUBLIC</t>
        </is>
      </c>
      <c r="E8" s="8" t="inlineStr">
        <is>
          <t>fkey_instrument.optimizer.candidate_families</t>
        </is>
      </c>
      <c r="F8" s="8" t="inlineStr">
        <is>
          <t>off_resonance_control</t>
        </is>
      </c>
      <c r="G8" s="8" t="inlineStr">
        <is>
          <t>5323227/250</t>
        </is>
      </c>
      <c r="H8" s="8" t="inlineStr">
        <is>
          <t>HARMONIC</t>
        </is>
      </c>
      <c r="I8" s="8" t="n">
        <v>1</v>
      </c>
      <c r="J8" s="8" t="inlineStr">
        <is>
          <t>H-RESONANCE-LOCK-01</t>
        </is>
      </c>
      <c r="K8" s="8" t="b">
        <v>1</v>
      </c>
    </row>
    <row r="9">
      <c r="A9" s="8" t="inlineStr">
        <is>
          <t>RCP-0dded2b015</t>
        </is>
      </c>
      <c r="B9" s="8" t="inlineStr">
        <is>
          <t>off</t>
        </is>
      </c>
      <c r="C9" s="8" t="inlineStr">
        <is>
          <t>ANALYTIC_MODEL</t>
        </is>
      </c>
      <c r="D9" s="8" t="inlineStr">
        <is>
          <t>PUBLIC</t>
        </is>
      </c>
      <c r="E9" s="8" t="inlineStr">
        <is>
          <t>fkey_instrument.optimizer.candidate_families</t>
        </is>
      </c>
      <c r="F9" s="8" t="inlineStr">
        <is>
          <t>sham_output_off</t>
        </is>
      </c>
      <c r="G9" s="8" t="inlineStr">
        <is>
          <t>0</t>
        </is>
      </c>
      <c r="H9" s="8" t="inlineStr">
        <is>
          <t>PHASE_CLOSURE_ONLY</t>
        </is>
      </c>
      <c r="I9" s="8" t="n">
        <v>0</v>
      </c>
      <c r="J9" s="8" t="inlineStr">
        <is>
          <t>H-ANOMALOUS-RESIDUAL-NULL</t>
        </is>
      </c>
      <c r="K9" s="8" t="b">
        <v>1</v>
      </c>
    </row>
    <row r="10">
      <c r="A10" s="8" t="inlineStr">
        <is>
          <t>RCP-f815152ffb</t>
        </is>
      </c>
      <c r="B10" s="8" t="inlineStr">
        <is>
          <t>square</t>
        </is>
      </c>
      <c r="C10" s="8" t="inlineStr">
        <is>
          <t>ANALYTIC_MODEL</t>
        </is>
      </c>
      <c r="D10" s="8" t="inlineStr">
        <is>
          <t>PUBLIC</t>
        </is>
      </c>
      <c r="E10" s="8" t="inlineStr">
        <is>
          <t>fkey_instrument.optimizer.candidate_families</t>
        </is>
      </c>
      <c r="F10" s="8" t="inlineStr">
        <is>
          <t>am_envelope_20_48</t>
        </is>
      </c>
      <c r="G10" s="8" t="inlineStr">
        <is>
          <t>20480</t>
        </is>
      </c>
      <c r="H10" s="8" t="inlineStr">
        <is>
          <t>AMPLITUDE_MODULATION_SIDEBAND</t>
        </is>
      </c>
      <c r="I10" s="8" t="n">
        <v>1</v>
      </c>
      <c r="J10" s="8" t="inlineStr">
        <is>
          <t>H-KEY-HARMONIC-01</t>
        </is>
      </c>
      <c r="K10" s="8" t="b">
        <v>0</v>
      </c>
    </row>
    <row r="11">
      <c r="A11" s="8" t="inlineStr">
        <is>
          <t>RCP-73a82356a9</t>
        </is>
      </c>
      <c r="B11" s="8" t="inlineStr">
        <is>
          <t>sweep</t>
        </is>
      </c>
      <c r="C11" s="8" t="inlineStr">
        <is>
          <t>ANALYTIC_MODEL</t>
        </is>
      </c>
      <c r="D11" s="8" t="inlineStr">
        <is>
          <t>PUBLIC</t>
        </is>
      </c>
      <c r="E11" s="8" t="inlineStr">
        <is>
          <t>fkey_instrument.optimizer.candidate_families</t>
        </is>
      </c>
      <c r="F11" s="8" t="inlineStr">
        <is>
          <t>chirp_band</t>
        </is>
      </c>
      <c r="G11" s="8" t="inlineStr">
        <is>
          <t>19800</t>
        </is>
      </c>
      <c r="H11" s="8" t="inlineStr">
        <is>
          <t>HARMONIC</t>
        </is>
      </c>
      <c r="I11" s="8" t="n">
        <v>1</v>
      </c>
      <c r="J11" s="8" t="inlineStr">
        <is>
          <t>H-RESONANCE-LOCK-01</t>
        </is>
      </c>
      <c r="K11" s="8" t="b">
        <v>0</v>
      </c>
    </row>
    <row r="12">
      <c r="A12" s="8" t="inlineStr">
        <is>
          <t>RCP-9eb32725e3</t>
        </is>
      </c>
      <c r="B12" s="8" t="inlineStr">
        <is>
          <t>sine</t>
        </is>
      </c>
      <c r="C12" s="8" t="inlineStr">
        <is>
          <t>ANALYTIC_MODEL</t>
        </is>
      </c>
      <c r="D12" s="8" t="inlineStr">
        <is>
          <t>PUBLIC</t>
        </is>
      </c>
      <c r="E12" s="8" t="inlineStr">
        <is>
          <t>fkey_instrument.optimizer.candidate_families</t>
        </is>
      </c>
      <c r="F12" s="8" t="inlineStr">
        <is>
          <t>highorder_mix</t>
        </is>
      </c>
      <c r="G12" s="8" t="inlineStr">
        <is>
          <t>20280</t>
        </is>
      </c>
      <c r="H12" s="8" t="inlineStr">
        <is>
          <t>ARITHMETIC_COINCIDENCE</t>
        </is>
      </c>
      <c r="I12" s="8" t="n">
        <v>33</v>
      </c>
      <c r="J12" s="8" t="inlineStr">
        <is>
          <t>H-HIGHORDER-MIX-NULL</t>
        </is>
      </c>
      <c r="K12" s="8" t="b">
        <v>0</v>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J7"/>
  <sheetViews>
    <sheetView workbookViewId="0">
      <pane ySplit="1" topLeftCell="A2" activePane="bottomLeft" state="frozen"/>
      <selection pane="bottomLeft" activeCell="A1" sqref="A1"/>
    </sheetView>
  </sheetViews>
  <sheetFormatPr baseColWidth="8" defaultRowHeight="15"/>
  <cols>
    <col width="27" customWidth="1" min="1" max="1"/>
    <col width="12" customWidth="1" min="2" max="2"/>
    <col width="16" customWidth="1" min="3" max="3"/>
    <col width="15" customWidth="1" min="4" max="4"/>
    <col width="38" customWidth="1" min="5" max="5"/>
    <col width="60" customWidth="1" min="6" max="6"/>
    <col width="60" customWidth="1" min="7" max="7"/>
    <col width="10" customWidth="1" min="8" max="8"/>
    <col width="60" customWidth="1" min="9" max="9"/>
    <col width="60" customWidth="1" min="10" max="10"/>
  </cols>
  <sheetData>
    <row r="1">
      <c r="A1" s="24" t="inlineStr">
        <is>
          <t>id</t>
        </is>
      </c>
      <c r="B1" s="24" t="inlineStr">
        <is>
          <t>kind</t>
        </is>
      </c>
      <c r="C1" s="24" t="inlineStr">
        <is>
          <t>evidence_class</t>
        </is>
      </c>
      <c r="D1" s="24" t="inlineStr">
        <is>
          <t>privacy_class</t>
        </is>
      </c>
      <c r="E1" s="24" t="inlineStr">
        <is>
          <t>provenance</t>
        </is>
      </c>
      <c r="F1" s="24" t="inlineStr">
        <is>
          <t>statement</t>
        </is>
      </c>
      <c r="G1" s="24" t="inlineStr">
        <is>
          <t>mechanism</t>
        </is>
      </c>
      <c r="H1" s="24" t="inlineStr">
        <is>
          <t>status</t>
        </is>
      </c>
      <c r="I1" s="24" t="inlineStr">
        <is>
          <t>prediction</t>
        </is>
      </c>
      <c r="J1" s="24" t="inlineStr">
        <is>
          <t>disconfirmed_by</t>
        </is>
      </c>
    </row>
    <row r="2">
      <c r="A2" s="8" t="inlineStr">
        <is>
          <t>H-KEY-HARMONIC-01</t>
        </is>
      </c>
      <c r="B2" s="8" t="inlineStr">
        <is>
          <t>hypothesis</t>
        </is>
      </c>
      <c r="C2" s="8" t="inlineStr">
        <is>
          <t>ANALYTIC_MODEL</t>
        </is>
      </c>
      <c r="D2" s="8" t="inlineStr">
        <is>
          <t>PUBLIC</t>
        </is>
      </c>
      <c r="E2" s="8" t="inlineStr">
        <is>
          <t>fkey_instrument.optimizer.HYPOTHESES</t>
        </is>
      </c>
      <c r="F2" s="8" t="inlineStr">
        <is>
          <t>a phase-coherent 4096 Hz nonsinusoidal drive can excite a target-band mechanical response through its fifth harmonic at 20.480 kHz</t>
        </is>
      </c>
      <c r="G2" s="8" t="inlineStr">
        <is>
          <t>HARMONIC (order 5)</t>
        </is>
      </c>
      <c r="H2" s="8" t="inlineStr">
        <is>
          <t>UNTESTED</t>
        </is>
      </c>
      <c r="I2" s="8" t="inlineStr">
        <is>
          <t>square &gt; sine by the modeled 5th-harmonic transfer; sine ~ noise floor</t>
        </is>
      </c>
      <c r="J2" s="8" t="inlineStr">
        <is>
          <t>square-drive band response indistinguishable from sine-drive within uncertainty</t>
        </is>
      </c>
    </row>
    <row r="3">
      <c r="A3" s="8" t="inlineStr">
        <is>
          <t>H-EQUIV-SPECTRUM-01</t>
        </is>
      </c>
      <c r="B3" s="8" t="inlineStr">
        <is>
          <t>hypothesis</t>
        </is>
      </c>
      <c r="C3" s="8" t="inlineStr">
        <is>
          <t>ANALYTIC_MODEL</t>
        </is>
      </c>
      <c r="D3" s="8" t="inlineStr">
        <is>
          <t>PUBLIC</t>
        </is>
      </c>
      <c r="E3" s="8" t="inlineStr">
        <is>
          <t>fkey_instrument.optimizer.HYPOTHESES</t>
        </is>
      </c>
      <c r="F3" s="8" t="inlineStr">
        <is>
          <t>when the measured 20.480 kHz component delivered to a linear plant is equalized, direct and 4096-derived excitation produce equivalent target-mode response within uncertainty</t>
        </is>
      </c>
      <c r="G3" s="8" t="inlineStr">
        <is>
          <t>linear-systems equivalence (the decisive ordinary-physics control)</t>
        </is>
      </c>
      <c r="H3" s="8" t="inlineStr">
        <is>
          <t>UNTESTED</t>
        </is>
      </c>
      <c r="I3" s="8" t="inlineStr">
        <is>
          <t>equivalence (this is a NULL-style prediction)</t>
        </is>
      </c>
      <c r="J3" s="8" t="inlineStr">
        <is>
          <t>a reproducible difference AFTER equalization — which would indicate nonlinearity or an unmodeled path, not magic</t>
        </is>
      </c>
    </row>
    <row r="4">
      <c r="A4" s="8" t="inlineStr">
        <is>
          <t>H-RESONANCE-LOCK-01</t>
        </is>
      </c>
      <c r="B4" s="8" t="inlineStr">
        <is>
          <t>hypothesis</t>
        </is>
      </c>
      <c r="C4" s="8" t="inlineStr">
        <is>
          <t>ANALYTIC_MODEL</t>
        </is>
      </c>
      <c r="D4" s="8" t="inlineStr">
        <is>
          <t>PUBLIC</t>
        </is>
      </c>
      <c r="E4" s="8" t="inlineStr">
        <is>
          <t>fkey_instrument.optimizer.HYPOTHESES</t>
        </is>
      </c>
      <c r="F4" s="8" t="inlineStr">
        <is>
          <t>direct drive at the measured specimen resonance produces greater response than equal-power nearby off-resonance controls</t>
        </is>
      </c>
      <c r="G4" s="8" t="inlineStr">
        <is>
          <t>MEASURED_RESONANCE_MATCH</t>
        </is>
      </c>
      <c r="H4" s="8" t="inlineStr">
        <is>
          <t>UNTESTED</t>
        </is>
      </c>
      <c r="I4" s="8" t="inlineStr">
        <is>
          <t>on &gt; off by ~Q-factor ratio</t>
        </is>
      </c>
      <c r="J4" s="8" t="inlineStr">
        <is>
          <t>on/off ratio ~ 1</t>
        </is>
      </c>
    </row>
    <row r="5">
      <c r="A5" s="8" t="inlineStr">
        <is>
          <t>H-FIXTURE-LOAD-01</t>
        </is>
      </c>
      <c r="B5" s="8" t="inlineStr">
        <is>
          <t>hypothesis</t>
        </is>
      </c>
      <c r="C5" s="8" t="inlineStr">
        <is>
          <t>ANALYTIC_MODEL</t>
        </is>
      </c>
      <c r="D5" s="8" t="inlineStr">
        <is>
          <t>PUBLIC</t>
        </is>
      </c>
      <c r="E5" s="8" t="inlineStr">
        <is>
          <t>fkey_instrument.optimizer.HYPOTHESES</t>
        </is>
      </c>
      <c r="F5" s="8" t="inlineStr">
        <is>
          <t>support and hand loading shift frequency and Q relative to a low-contact reference</t>
        </is>
      </c>
      <c r="G5" s="8" t="inlineStr">
        <is>
          <t>ordinary contact mechanics</t>
        </is>
      </c>
      <c r="H5" s="8" t="inlineStr">
        <is>
          <t>UNTESTED</t>
        </is>
      </c>
      <c r="I5" s="8" t="inlineStr">
        <is>
          <t>measurable shifts, direction per contact model</t>
        </is>
      </c>
      <c r="J5" s="8" t="inlineStr">
        <is>
          <t>shifts within remount scatter</t>
        </is>
      </c>
    </row>
    <row r="6">
      <c r="A6" s="8" t="inlineStr">
        <is>
          <t>H-HIGHORDER-MIX-NULL</t>
        </is>
      </c>
      <c r="B6" s="8" t="inlineStr">
        <is>
          <t>hypothesis</t>
        </is>
      </c>
      <c r="C6" s="8" t="inlineStr">
        <is>
          <t>ANALYTIC_MODEL</t>
        </is>
      </c>
      <c r="D6" s="8" t="inlineStr">
        <is>
          <t>PUBLIC</t>
        </is>
      </c>
      <c r="E6" s="8" t="inlineStr">
        <is>
          <t>fkey_instrument.optimizer.HYPOTHESES</t>
        </is>
      </c>
      <c r="F6" s="8" t="inlineStr">
        <is>
          <t>high-order combinations such as 1496 + 32*587 do not produce a detectable target component at low drive unless measurable nonlinearity exists</t>
        </is>
      </c>
      <c r="G6" s="8" t="inlineStr">
        <is>
          <t>ARITHMETIC_COINCIDENCE (order 33)</t>
        </is>
      </c>
      <c r="H6" s="8" t="inlineStr">
        <is>
          <t>UNTESTED</t>
        </is>
      </c>
      <c r="I6" s="8" t="inlineStr">
        <is>
          <t>NULL at linear drive levels</t>
        </is>
      </c>
      <c r="J6" s="8" t="inlineStr">
        <is>
          <t>a target component WITHOUT the deliberate nonlinearity — which would first be hunted as an instrument artifact (A24)</t>
        </is>
      </c>
    </row>
    <row r="7">
      <c r="A7" s="8" t="inlineStr">
        <is>
          <t>H-ANOMALOUS-RESIDUAL-NULL</t>
        </is>
      </c>
      <c r="B7" s="8" t="inlineStr">
        <is>
          <t>hypothesis</t>
        </is>
      </c>
      <c r="C7" s="8" t="inlineStr">
        <is>
          <t>ANALYTIC_MODEL</t>
        </is>
      </c>
      <c r="D7" s="8" t="inlineStr">
        <is>
          <t>PUBLIC</t>
        </is>
      </c>
      <c r="E7" s="8" t="inlineStr">
        <is>
          <t>fkey_instrument.optimizer.HYPOTHESES</t>
        </is>
      </c>
      <c r="F7" s="8" t="inlineStr">
        <is>
          <t>after conventional crosstalk and transfer paths are modeled, no unexplained output channel remains</t>
        </is>
      </c>
      <c r="G7" s="8" t="inlineStr">
        <is>
          <t>null over conventional channels</t>
        </is>
      </c>
      <c r="H7" s="8" t="inlineStr">
        <is>
          <t>UNTESTED</t>
        </is>
      </c>
      <c r="I7" s="8" t="inlineStr">
        <is>
          <t>NULL</t>
        </is>
      </c>
      <c r="J7" s="8" t="inlineStr">
        <is>
          <t>a reproducible residual surviving every conventional model — reported as CANDIDATE_NOVEL for further work, never as a field claim</t>
        </is>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F130"/>
  <sheetViews>
    <sheetView workbookViewId="0">
      <pane ySplit="1" topLeftCell="A2" activePane="bottomLeft" state="frozen"/>
      <selection pane="bottomLeft" activeCell="A1" sqref="A1"/>
    </sheetView>
  </sheetViews>
  <sheetFormatPr baseColWidth="8" defaultRowHeight="15"/>
  <cols>
    <col width="20" customWidth="1" min="1" max="1"/>
    <col width="33" customWidth="1" min="2" max="2"/>
    <col width="23" customWidth="1" min="3" max="3"/>
    <col width="22" customWidth="1" min="4" max="4"/>
    <col width="15" customWidth="1" min="5" max="5"/>
    <col width="50" customWidth="1" min="6" max="6"/>
  </cols>
  <sheetData>
    <row r="1">
      <c r="A1" s="24" t="inlineStr">
        <is>
          <t>table</t>
        </is>
      </c>
      <c r="B1" s="24" t="inlineStr">
        <is>
          <t>id</t>
        </is>
      </c>
      <c r="C1" s="24" t="inlineStr">
        <is>
          <t>kind</t>
        </is>
      </c>
      <c r="D1" s="24" t="inlineStr">
        <is>
          <t>evidence_class</t>
        </is>
      </c>
      <c r="E1" s="24" t="inlineStr">
        <is>
          <t>privacy_class</t>
        </is>
      </c>
      <c r="F1" s="24" t="inlineStr">
        <is>
          <t>provenance</t>
        </is>
      </c>
    </row>
    <row r="2">
      <c r="A2" s="7" t="inlineStr">
        <is>
          <t>frequency_keys</t>
        </is>
      </c>
      <c r="B2" s="7" t="inlineStr">
        <is>
          <t>FKEY-8HZ</t>
        </is>
      </c>
      <c r="C2" s="7" t="inlineStr">
        <is>
          <t>frequency_key</t>
        </is>
      </c>
      <c r="D2" s="7" t="inlineStr">
        <is>
          <t>DERIVED_ARITHMETIC</t>
        </is>
      </c>
      <c r="E2" s="7" t="inlineStr">
        <is>
          <t>PUBLIC</t>
        </is>
      </c>
      <c r="F2" s="7" t="inlineStr">
        <is>
          <t>pack seed data (frequency_keys_seed.json)</t>
        </is>
      </c>
    </row>
    <row r="3">
      <c r="A3" s="7" t="inlineStr">
        <is>
          <t>frequency_keys</t>
        </is>
      </c>
      <c r="B3" s="7" t="inlineStr">
        <is>
          <t>FKEY-20_48HZ</t>
        </is>
      </c>
      <c r="C3" s="7" t="inlineStr">
        <is>
          <t>frequency_key</t>
        </is>
      </c>
      <c r="D3" s="7" t="inlineStr">
        <is>
          <t>DERIVED_ARITHMETIC</t>
        </is>
      </c>
      <c r="E3" s="7" t="inlineStr">
        <is>
          <t>PUBLIC</t>
        </is>
      </c>
      <c r="F3" s="7" t="inlineStr">
        <is>
          <t>pack seed data (frequency_keys_seed.json)</t>
        </is>
      </c>
    </row>
    <row r="4">
      <c r="A4" s="7" t="inlineStr">
        <is>
          <t>frequency_keys</t>
        </is>
      </c>
      <c r="B4" s="7" t="inlineStr">
        <is>
          <t>FKEY-40_96HZ</t>
        </is>
      </c>
      <c r="C4" s="7" t="inlineStr">
        <is>
          <t>frequency_key</t>
        </is>
      </c>
      <c r="D4" s="7" t="inlineStr">
        <is>
          <t>DERIVED_ARITHMETIC</t>
        </is>
      </c>
      <c r="E4" s="7" t="inlineStr">
        <is>
          <t>PUBLIC</t>
        </is>
      </c>
      <c r="F4" s="7" t="inlineStr">
        <is>
          <t>pack seed data (frequency_keys_seed.json)</t>
        </is>
      </c>
    </row>
    <row r="5">
      <c r="A5" s="6" t="inlineStr">
        <is>
          <t>frequency_keys</t>
        </is>
      </c>
      <c r="B5" s="6" t="inlineStr">
        <is>
          <t>FKEY-587HZ</t>
        </is>
      </c>
      <c r="C5" s="6" t="inlineStr">
        <is>
          <t>frequency_key</t>
        </is>
      </c>
      <c r="D5" s="6" t="inlineStr">
        <is>
          <t>SOURCE_CLAIM</t>
        </is>
      </c>
      <c r="E5" s="6" t="inlineStr">
        <is>
          <t>PUBLIC</t>
        </is>
      </c>
      <c r="F5" s="6" t="inlineStr">
        <is>
          <t>pack seed data (frequency_keys_seed.json)</t>
        </is>
      </c>
    </row>
    <row r="6">
      <c r="A6" s="6" t="inlineStr">
        <is>
          <t>frequency_keys</t>
        </is>
      </c>
      <c r="B6" s="6" t="inlineStr">
        <is>
          <t>FKEY-644HZ</t>
        </is>
      </c>
      <c r="C6" s="6" t="inlineStr">
        <is>
          <t>frequency_key</t>
        </is>
      </c>
      <c r="D6" s="6" t="inlineStr">
        <is>
          <t>SOURCE_CLAIM</t>
        </is>
      </c>
      <c r="E6" s="6" t="inlineStr">
        <is>
          <t>PUBLIC</t>
        </is>
      </c>
      <c r="F6" s="6" t="inlineStr">
        <is>
          <t>pack seed data (frequency_keys_seed.json)</t>
        </is>
      </c>
    </row>
    <row r="7">
      <c r="A7" s="6" t="inlineStr">
        <is>
          <t>frequency_keys</t>
        </is>
      </c>
      <c r="B7" s="6" t="inlineStr">
        <is>
          <t>FKEY-787HZ</t>
        </is>
      </c>
      <c r="C7" s="6" t="inlineStr">
        <is>
          <t>frequency_key</t>
        </is>
      </c>
      <c r="D7" s="6" t="inlineStr">
        <is>
          <t>SOURCE_CLAIM</t>
        </is>
      </c>
      <c r="E7" s="6" t="inlineStr">
        <is>
          <t>PUBLIC</t>
        </is>
      </c>
      <c r="F7" s="6" t="inlineStr">
        <is>
          <t>pack seed data (frequency_keys_seed.json)</t>
        </is>
      </c>
    </row>
    <row r="8">
      <c r="A8" s="6" t="inlineStr">
        <is>
          <t>frequency_keys</t>
        </is>
      </c>
      <c r="B8" s="6" t="inlineStr">
        <is>
          <t>FKEY-880HZ</t>
        </is>
      </c>
      <c r="C8" s="6" t="inlineStr">
        <is>
          <t>frequency_key</t>
        </is>
      </c>
      <c r="D8" s="6" t="inlineStr">
        <is>
          <t>SOURCE_CLAIM</t>
        </is>
      </c>
      <c r="E8" s="6" t="inlineStr">
        <is>
          <t>PUBLIC</t>
        </is>
      </c>
      <c r="F8" s="6" t="inlineStr">
        <is>
          <t>pack seed data (frequency_keys_seed.json)</t>
        </is>
      </c>
    </row>
    <row r="9">
      <c r="A9" s="6" t="inlineStr">
        <is>
          <t>frequency_keys</t>
        </is>
      </c>
      <c r="B9" s="6" t="inlineStr">
        <is>
          <t>FKEY-1496HZ</t>
        </is>
      </c>
      <c r="C9" s="6" t="inlineStr">
        <is>
          <t>frequency_key</t>
        </is>
      </c>
      <c r="D9" s="6" t="inlineStr">
        <is>
          <t>SOURCE_CLAIM</t>
        </is>
      </c>
      <c r="E9" s="6" t="inlineStr">
        <is>
          <t>PUBLIC</t>
        </is>
      </c>
      <c r="F9" s="6" t="inlineStr">
        <is>
          <t>pack seed data (frequency_keys_seed.json)</t>
        </is>
      </c>
    </row>
    <row r="10">
      <c r="A10" s="7" t="inlineStr">
        <is>
          <t>frequency_keys</t>
        </is>
      </c>
      <c r="B10" s="7" t="inlineStr">
        <is>
          <t>FKEY-4096HZ</t>
        </is>
      </c>
      <c r="C10" s="7" t="inlineStr">
        <is>
          <t>frequency_key</t>
        </is>
      </c>
      <c r="D10" s="7" t="inlineStr">
        <is>
          <t>DERIVED_ARITHMETIC</t>
        </is>
      </c>
      <c r="E10" s="7" t="inlineStr">
        <is>
          <t>PUBLIC</t>
        </is>
      </c>
      <c r="F10" s="7" t="inlineStr">
        <is>
          <t>pack seed data (frequency_keys_seed.json)</t>
        </is>
      </c>
    </row>
    <row r="11">
      <c r="A11" s="7" t="inlineStr">
        <is>
          <t>frequency_keys</t>
        </is>
      </c>
      <c r="B11" s="7" t="inlineStr">
        <is>
          <t>FKEY-20480HZ</t>
        </is>
      </c>
      <c r="C11" s="7" t="inlineStr">
        <is>
          <t>frequency_key</t>
        </is>
      </c>
      <c r="D11" s="7" t="inlineStr">
        <is>
          <t>DERIVED_ARITHMETIC</t>
        </is>
      </c>
      <c r="E11" s="7" t="inlineStr">
        <is>
          <t>PUBLIC</t>
        </is>
      </c>
      <c r="F11" s="7" t="inlineStr">
        <is>
          <t>pack seed data (frequency_keys_seed.json)</t>
        </is>
      </c>
    </row>
    <row r="12">
      <c r="A12" s="7" t="inlineStr">
        <is>
          <t>frequency_keys</t>
        </is>
      </c>
      <c r="B12" s="7" t="inlineStr">
        <is>
          <t>FKEY-32768HZ</t>
        </is>
      </c>
      <c r="C12" s="7" t="inlineStr">
        <is>
          <t>frequency_key</t>
        </is>
      </c>
      <c r="D12" s="7" t="inlineStr">
        <is>
          <t>DERIVED_ARITHMETIC</t>
        </is>
      </c>
      <c r="E12" s="7" t="inlineStr">
        <is>
          <t>PUBLIC</t>
        </is>
      </c>
      <c r="F12" s="7" t="inlineStr">
        <is>
          <t>pack seed data (frequency_keys_seed.json)</t>
        </is>
      </c>
    </row>
    <row r="13">
      <c r="A13" s="7" t="inlineStr">
        <is>
          <t>frequency_keys</t>
        </is>
      </c>
      <c r="B13" s="7" t="inlineStr">
        <is>
          <t>FKEY-40960HZ</t>
        </is>
      </c>
      <c r="C13" s="7" t="inlineStr">
        <is>
          <t>frequency_key</t>
        </is>
      </c>
      <c r="D13" s="7" t="inlineStr">
        <is>
          <t>DERIVED_ARITHMETIC</t>
        </is>
      </c>
      <c r="E13" s="7" t="inlineStr">
        <is>
          <t>PUBLIC</t>
        </is>
      </c>
      <c r="F13" s="7" t="inlineStr">
        <is>
          <t>pack seed data (frequency_keys_seed.json)</t>
        </is>
      </c>
    </row>
    <row r="14">
      <c r="A14" s="7" t="inlineStr">
        <is>
          <t>harmonic_relations</t>
        </is>
      </c>
      <c r="B14" s="7" t="inlineStr">
        <is>
          <t>REL-ea3c529a85</t>
        </is>
      </c>
      <c r="C14" s="7" t="inlineStr">
        <is>
          <t>frequency_relation</t>
        </is>
      </c>
      <c r="D14" s="7" t="inlineStr">
        <is>
          <t>DERIVED_ARITHMETIC</t>
        </is>
      </c>
      <c r="E14" s="7" t="inlineStr">
        <is>
          <t>PUBLIC</t>
        </is>
      </c>
      <c r="F14" s="7" t="inlineStr">
        <is>
          <t>fkey_instrument.relations.seed_relations</t>
        </is>
      </c>
    </row>
    <row r="15">
      <c r="A15" s="7" t="inlineStr">
        <is>
          <t>harmonic_relations</t>
        </is>
      </c>
      <c r="B15" s="7" t="inlineStr">
        <is>
          <t>REL-5a7ccd19df</t>
        </is>
      </c>
      <c r="C15" s="7" t="inlineStr">
        <is>
          <t>frequency_relation</t>
        </is>
      </c>
      <c r="D15" s="7" t="inlineStr">
        <is>
          <t>DERIVED_ARITHMETIC</t>
        </is>
      </c>
      <c r="E15" s="7" t="inlineStr">
        <is>
          <t>PUBLIC</t>
        </is>
      </c>
      <c r="F15" s="7" t="inlineStr">
        <is>
          <t>fkey_instrument.relations.seed_relations</t>
        </is>
      </c>
    </row>
    <row r="16">
      <c r="A16" s="7" t="inlineStr">
        <is>
          <t>harmonic_relations</t>
        </is>
      </c>
      <c r="B16" s="7" t="inlineStr">
        <is>
          <t>REL-85c58122e8</t>
        </is>
      </c>
      <c r="C16" s="7" t="inlineStr">
        <is>
          <t>frequency_relation</t>
        </is>
      </c>
      <c r="D16" s="7" t="inlineStr">
        <is>
          <t>DERIVED_ARITHMETIC</t>
        </is>
      </c>
      <c r="E16" s="7" t="inlineStr">
        <is>
          <t>PUBLIC</t>
        </is>
      </c>
      <c r="F16" s="7" t="inlineStr">
        <is>
          <t>fkey_instrument.relations.seed_relations</t>
        </is>
      </c>
    </row>
    <row r="17">
      <c r="A17" s="7" t="inlineStr">
        <is>
          <t>harmonic_relations</t>
        </is>
      </c>
      <c r="B17" s="7" t="inlineStr">
        <is>
          <t>REL-0092caed60</t>
        </is>
      </c>
      <c r="C17" s="7" t="inlineStr">
        <is>
          <t>frequency_relation</t>
        </is>
      </c>
      <c r="D17" s="7" t="inlineStr">
        <is>
          <t>DERIVED_ARITHMETIC</t>
        </is>
      </c>
      <c r="E17" s="7" t="inlineStr">
        <is>
          <t>PUBLIC</t>
        </is>
      </c>
      <c r="F17" s="7" t="inlineStr">
        <is>
          <t>fkey_instrument.relations.seed_relations</t>
        </is>
      </c>
    </row>
    <row r="18">
      <c r="A18" s="7" t="inlineStr">
        <is>
          <t>harmonic_relations</t>
        </is>
      </c>
      <c r="B18" s="7" t="inlineStr">
        <is>
          <t>REL-9d7b6631d4</t>
        </is>
      </c>
      <c r="C18" s="7" t="inlineStr">
        <is>
          <t>frequency_relation</t>
        </is>
      </c>
      <c r="D18" s="7" t="inlineStr">
        <is>
          <t>DERIVED_ARITHMETIC</t>
        </is>
      </c>
      <c r="E18" s="7" t="inlineStr">
        <is>
          <t>PUBLIC</t>
        </is>
      </c>
      <c r="F18" s="7" t="inlineStr">
        <is>
          <t>fkey_instrument.relations.seed_relations</t>
        </is>
      </c>
    </row>
    <row r="19">
      <c r="A19" s="7" t="inlineStr">
        <is>
          <t>harmonic_relations</t>
        </is>
      </c>
      <c r="B19" s="7" t="inlineStr">
        <is>
          <t>REL-ce4ace827a</t>
        </is>
      </c>
      <c r="C19" s="7" t="inlineStr">
        <is>
          <t>frequency_relation</t>
        </is>
      </c>
      <c r="D19" s="7" t="inlineStr">
        <is>
          <t>DERIVED_ARITHMETIC</t>
        </is>
      </c>
      <c r="E19" s="7" t="inlineStr">
        <is>
          <t>PUBLIC</t>
        </is>
      </c>
      <c r="F19" s="7" t="inlineStr">
        <is>
          <t>fkey_instrument.relations.seed_relations</t>
        </is>
      </c>
    </row>
    <row r="20">
      <c r="A20" s="7" t="inlineStr">
        <is>
          <t>harmonic_relations</t>
        </is>
      </c>
      <c r="B20" s="7" t="inlineStr">
        <is>
          <t>REL-d88fa855e3</t>
        </is>
      </c>
      <c r="C20" s="7" t="inlineStr">
        <is>
          <t>frequency_relation</t>
        </is>
      </c>
      <c r="D20" s="7" t="inlineStr">
        <is>
          <t>DERIVED_ARITHMETIC</t>
        </is>
      </c>
      <c r="E20" s="7" t="inlineStr">
        <is>
          <t>PUBLIC</t>
        </is>
      </c>
      <c r="F20" s="7" t="inlineStr">
        <is>
          <t>fkey_instrument.relations.seed_relations</t>
        </is>
      </c>
    </row>
    <row r="21">
      <c r="A21" s="6" t="inlineStr">
        <is>
          <t>specimens</t>
        </is>
      </c>
      <c r="B21" s="6" t="inlineStr">
        <is>
          <t>SP-EBAY-137330949270-PREARRIVAL</t>
        </is>
      </c>
      <c r="C21" s="6" t="inlineStr">
        <is>
          <t>specimen_revision</t>
        </is>
      </c>
      <c r="D21" s="6" t="inlineStr">
        <is>
          <t>SOURCE_CLAIM</t>
        </is>
      </c>
      <c r="E21" s="6" t="inlineStr">
        <is>
          <t>PUBLIC_SAFE</t>
        </is>
      </c>
      <c r="F21" s="6" t="inlineStr">
        <is>
          <t>pack data specimen_prearrival.json</t>
        </is>
      </c>
    </row>
    <row r="22">
      <c r="A22" s="8" t="inlineStr">
        <is>
          <t>mode_estimates</t>
        </is>
      </c>
      <c r="B22" s="8" t="inlineStr">
        <is>
          <t>MODE-91374d03b8</t>
        </is>
      </c>
      <c r="C22" s="8" t="inlineStr">
        <is>
          <t>mode_estimate</t>
        </is>
      </c>
      <c r="D22" s="8" t="inlineStr">
        <is>
          <t>ANALYTIC_MODEL</t>
        </is>
      </c>
      <c r="E22" s="8" t="inlineStr">
        <is>
          <t>PUBLIC</t>
        </is>
      </c>
      <c r="F22" s="8" t="inlineStr">
        <is>
          <t>crystal_mode.screening_modes (LEVEL0_1D_ROD)</t>
        </is>
      </c>
    </row>
    <row r="23">
      <c r="A23" s="8" t="inlineStr">
        <is>
          <t>timing_recipes</t>
        </is>
      </c>
      <c r="B23" s="8" t="inlineStr">
        <is>
          <t>RCP-a1a5271213</t>
        </is>
      </c>
      <c r="C23" s="8" t="inlineStr">
        <is>
          <t>sine</t>
        </is>
      </c>
      <c r="D23" s="8" t="inlineStr">
        <is>
          <t>ANALYTIC_MODEL</t>
        </is>
      </c>
      <c r="E23" s="8" t="inlineStr">
        <is>
          <t>PUBLIC</t>
        </is>
      </c>
      <c r="F23" s="8" t="inlineStr">
        <is>
          <t>fkey_instrument.optimizer.candidate_families</t>
        </is>
      </c>
    </row>
    <row r="24">
      <c r="A24" s="8" t="inlineStr">
        <is>
          <t>timing_recipes</t>
        </is>
      </c>
      <c r="B24" s="8" t="inlineStr">
        <is>
          <t>RCP-f1a8aecd3f</t>
        </is>
      </c>
      <c r="C24" s="8" t="inlineStr">
        <is>
          <t>square</t>
        </is>
      </c>
      <c r="D24" s="8" t="inlineStr">
        <is>
          <t>ANALYTIC_MODEL</t>
        </is>
      </c>
      <c r="E24" s="8" t="inlineStr">
        <is>
          <t>PUBLIC</t>
        </is>
      </c>
      <c r="F24" s="8" t="inlineStr">
        <is>
          <t>fkey_instrument.optimizer.candidate_families</t>
        </is>
      </c>
    </row>
    <row r="25">
      <c r="A25" s="8" t="inlineStr">
        <is>
          <t>timing_recipes</t>
        </is>
      </c>
      <c r="B25" s="8" t="inlineStr">
        <is>
          <t>RCP-e09e2e06d1</t>
        </is>
      </c>
      <c r="C25" s="8" t="inlineStr">
        <is>
          <t>sine</t>
        </is>
      </c>
      <c r="D25" s="8" t="inlineStr">
        <is>
          <t>ANALYTIC_MODEL</t>
        </is>
      </c>
      <c r="E25" s="8" t="inlineStr">
        <is>
          <t>PUBLIC</t>
        </is>
      </c>
      <c r="F25" s="8" t="inlineStr">
        <is>
          <t>fkey_instrument.optimizer.candidate_families</t>
        </is>
      </c>
    </row>
    <row r="26">
      <c r="A26" s="8" t="inlineStr">
        <is>
          <t>timing_recipes</t>
        </is>
      </c>
      <c r="B26" s="8" t="inlineStr">
        <is>
          <t>RCP-22f5a02776</t>
        </is>
      </c>
      <c r="C26" s="8" t="inlineStr">
        <is>
          <t>square</t>
        </is>
      </c>
      <c r="D26" s="8" t="inlineStr">
        <is>
          <t>ANALYTIC_MODEL</t>
        </is>
      </c>
      <c r="E26" s="8" t="inlineStr">
        <is>
          <t>PUBLIC</t>
        </is>
      </c>
      <c r="F26" s="8" t="inlineStr">
        <is>
          <t>fkey_instrument.optimizer.candidate_families</t>
        </is>
      </c>
    </row>
    <row r="27">
      <c r="A27" s="8" t="inlineStr">
        <is>
          <t>timing_recipes</t>
        </is>
      </c>
      <c r="B27" s="8" t="inlineStr">
        <is>
          <t>RCP-b76cef72fa</t>
        </is>
      </c>
      <c r="C27" s="8" t="inlineStr">
        <is>
          <t>sine</t>
        </is>
      </c>
      <c r="D27" s="8" t="inlineStr">
        <is>
          <t>ANALYTIC_MODEL</t>
        </is>
      </c>
      <c r="E27" s="8" t="inlineStr">
        <is>
          <t>PUBLIC</t>
        </is>
      </c>
      <c r="F27" s="8" t="inlineStr">
        <is>
          <t>fkey_instrument.optimizer.candidate_families</t>
        </is>
      </c>
    </row>
    <row r="28">
      <c r="A28" s="8" t="inlineStr">
        <is>
          <t>timing_recipes</t>
        </is>
      </c>
      <c r="B28" s="8" t="inlineStr">
        <is>
          <t>RCP-9ebb2c238b</t>
        </is>
      </c>
      <c r="C28" s="8" t="inlineStr">
        <is>
          <t>square</t>
        </is>
      </c>
      <c r="D28" s="8" t="inlineStr">
        <is>
          <t>ANALYTIC_MODEL</t>
        </is>
      </c>
      <c r="E28" s="8" t="inlineStr">
        <is>
          <t>PUBLIC</t>
        </is>
      </c>
      <c r="F28" s="8" t="inlineStr">
        <is>
          <t>fkey_instrument.optimizer.candidate_families</t>
        </is>
      </c>
    </row>
    <row r="29">
      <c r="A29" s="8" t="inlineStr">
        <is>
          <t>timing_recipes</t>
        </is>
      </c>
      <c r="B29" s="8" t="inlineStr">
        <is>
          <t>RCP-be4978f5dd</t>
        </is>
      </c>
      <c r="C29" s="8" t="inlineStr">
        <is>
          <t>sine</t>
        </is>
      </c>
      <c r="D29" s="8" t="inlineStr">
        <is>
          <t>ANALYTIC_MODEL</t>
        </is>
      </c>
      <c r="E29" s="8" t="inlineStr">
        <is>
          <t>PUBLIC</t>
        </is>
      </c>
      <c r="F29" s="8" t="inlineStr">
        <is>
          <t>fkey_instrument.optimizer.candidate_families</t>
        </is>
      </c>
    </row>
    <row r="30">
      <c r="A30" s="8" t="inlineStr">
        <is>
          <t>timing_recipes</t>
        </is>
      </c>
      <c r="B30" s="8" t="inlineStr">
        <is>
          <t>RCP-0dded2b015</t>
        </is>
      </c>
      <c r="C30" s="8" t="inlineStr">
        <is>
          <t>off</t>
        </is>
      </c>
      <c r="D30" s="8" t="inlineStr">
        <is>
          <t>ANALYTIC_MODEL</t>
        </is>
      </c>
      <c r="E30" s="8" t="inlineStr">
        <is>
          <t>PUBLIC</t>
        </is>
      </c>
      <c r="F30" s="8" t="inlineStr">
        <is>
          <t>fkey_instrument.optimizer.candidate_families</t>
        </is>
      </c>
    </row>
    <row r="31">
      <c r="A31" s="8" t="inlineStr">
        <is>
          <t>timing_recipes</t>
        </is>
      </c>
      <c r="B31" s="8" t="inlineStr">
        <is>
          <t>RCP-f815152ffb</t>
        </is>
      </c>
      <c r="C31" s="8" t="inlineStr">
        <is>
          <t>square</t>
        </is>
      </c>
      <c r="D31" s="8" t="inlineStr">
        <is>
          <t>ANALYTIC_MODEL</t>
        </is>
      </c>
      <c r="E31" s="8" t="inlineStr">
        <is>
          <t>PUBLIC</t>
        </is>
      </c>
      <c r="F31" s="8" t="inlineStr">
        <is>
          <t>fkey_instrument.optimizer.candidate_families</t>
        </is>
      </c>
    </row>
    <row r="32">
      <c r="A32" s="8" t="inlineStr">
        <is>
          <t>timing_recipes</t>
        </is>
      </c>
      <c r="B32" s="8" t="inlineStr">
        <is>
          <t>RCP-73a82356a9</t>
        </is>
      </c>
      <c r="C32" s="8" t="inlineStr">
        <is>
          <t>sweep</t>
        </is>
      </c>
      <c r="D32" s="8" t="inlineStr">
        <is>
          <t>ANALYTIC_MODEL</t>
        </is>
      </c>
      <c r="E32" s="8" t="inlineStr">
        <is>
          <t>PUBLIC</t>
        </is>
      </c>
      <c r="F32" s="8" t="inlineStr">
        <is>
          <t>fkey_instrument.optimizer.candidate_families</t>
        </is>
      </c>
    </row>
    <row r="33">
      <c r="A33" s="8" t="inlineStr">
        <is>
          <t>timing_recipes</t>
        </is>
      </c>
      <c r="B33" s="8" t="inlineStr">
        <is>
          <t>RCP-9eb32725e3</t>
        </is>
      </c>
      <c r="C33" s="8" t="inlineStr">
        <is>
          <t>sine</t>
        </is>
      </c>
      <c r="D33" s="8" t="inlineStr">
        <is>
          <t>ANALYTIC_MODEL</t>
        </is>
      </c>
      <c r="E33" s="8" t="inlineStr">
        <is>
          <t>PUBLIC</t>
        </is>
      </c>
      <c r="F33" s="8" t="inlineStr">
        <is>
          <t>fkey_instrument.optimizer.candidate_families</t>
        </is>
      </c>
    </row>
    <row r="34">
      <c r="A34" s="8" t="inlineStr">
        <is>
          <t>hypotheses</t>
        </is>
      </c>
      <c r="B34" s="8" t="inlineStr">
        <is>
          <t>H-KEY-HARMONIC-01</t>
        </is>
      </c>
      <c r="C34" s="8" t="inlineStr">
        <is>
          <t>hypothesis</t>
        </is>
      </c>
      <c r="D34" s="8" t="inlineStr">
        <is>
          <t>ANALYTIC_MODEL</t>
        </is>
      </c>
      <c r="E34" s="8" t="inlineStr">
        <is>
          <t>PUBLIC</t>
        </is>
      </c>
      <c r="F34" s="8" t="inlineStr">
        <is>
          <t>fkey_instrument.optimizer.HYPOTHESES</t>
        </is>
      </c>
    </row>
    <row r="35">
      <c r="A35" s="8" t="inlineStr">
        <is>
          <t>hypotheses</t>
        </is>
      </c>
      <c r="B35" s="8" t="inlineStr">
        <is>
          <t>H-EQUIV-SPECTRUM-01</t>
        </is>
      </c>
      <c r="C35" s="8" t="inlineStr">
        <is>
          <t>hypothesis</t>
        </is>
      </c>
      <c r="D35" s="8" t="inlineStr">
        <is>
          <t>ANALYTIC_MODEL</t>
        </is>
      </c>
      <c r="E35" s="8" t="inlineStr">
        <is>
          <t>PUBLIC</t>
        </is>
      </c>
      <c r="F35" s="8" t="inlineStr">
        <is>
          <t>fkey_instrument.optimizer.HYPOTHESES</t>
        </is>
      </c>
    </row>
    <row r="36">
      <c r="A36" s="8" t="inlineStr">
        <is>
          <t>hypotheses</t>
        </is>
      </c>
      <c r="B36" s="8" t="inlineStr">
        <is>
          <t>H-RESONANCE-LOCK-01</t>
        </is>
      </c>
      <c r="C36" s="8" t="inlineStr">
        <is>
          <t>hypothesis</t>
        </is>
      </c>
      <c r="D36" s="8" t="inlineStr">
        <is>
          <t>ANALYTIC_MODEL</t>
        </is>
      </c>
      <c r="E36" s="8" t="inlineStr">
        <is>
          <t>PUBLIC</t>
        </is>
      </c>
      <c r="F36" s="8" t="inlineStr">
        <is>
          <t>fkey_instrument.optimizer.HYPOTHESES</t>
        </is>
      </c>
    </row>
    <row r="37">
      <c r="A37" s="8" t="inlineStr">
        <is>
          <t>hypotheses</t>
        </is>
      </c>
      <c r="B37" s="8" t="inlineStr">
        <is>
          <t>H-FIXTURE-LOAD-01</t>
        </is>
      </c>
      <c r="C37" s="8" t="inlineStr">
        <is>
          <t>hypothesis</t>
        </is>
      </c>
      <c r="D37" s="8" t="inlineStr">
        <is>
          <t>ANALYTIC_MODEL</t>
        </is>
      </c>
      <c r="E37" s="8" t="inlineStr">
        <is>
          <t>PUBLIC</t>
        </is>
      </c>
      <c r="F37" s="8" t="inlineStr">
        <is>
          <t>fkey_instrument.optimizer.HYPOTHESES</t>
        </is>
      </c>
    </row>
    <row r="38">
      <c r="A38" s="8" t="inlineStr">
        <is>
          <t>hypotheses</t>
        </is>
      </c>
      <c r="B38" s="8" t="inlineStr">
        <is>
          <t>H-HIGHORDER-MIX-NULL</t>
        </is>
      </c>
      <c r="C38" s="8" t="inlineStr">
        <is>
          <t>hypothesis</t>
        </is>
      </c>
      <c r="D38" s="8" t="inlineStr">
        <is>
          <t>ANALYTIC_MODEL</t>
        </is>
      </c>
      <c r="E38" s="8" t="inlineStr">
        <is>
          <t>PUBLIC</t>
        </is>
      </c>
      <c r="F38" s="8" t="inlineStr">
        <is>
          <t>fkey_instrument.optimizer.HYPOTHESES</t>
        </is>
      </c>
    </row>
    <row r="39">
      <c r="A39" s="8" t="inlineStr">
        <is>
          <t>hypotheses</t>
        </is>
      </c>
      <c r="B39" s="8" t="inlineStr">
        <is>
          <t>H-ANOMALOUS-RESIDUAL-NULL</t>
        </is>
      </c>
      <c r="C39" s="8" t="inlineStr">
        <is>
          <t>hypothesis</t>
        </is>
      </c>
      <c r="D39" s="8" t="inlineStr">
        <is>
          <t>ANALYTIC_MODEL</t>
        </is>
      </c>
      <c r="E39" s="8" t="inlineStr">
        <is>
          <t>PUBLIC</t>
        </is>
      </c>
      <c r="F39" s="8" t="inlineStr">
        <is>
          <t>fkey_instrument.optimizer.HYPOTHESES</t>
        </is>
      </c>
    </row>
    <row r="40">
      <c r="A40" s="9" t="inlineStr">
        <is>
          <t>eye_results</t>
        </is>
      </c>
      <c r="B40" s="9" t="inlineStr">
        <is>
          <t>EYE-V41-CANONICAL</t>
        </is>
      </c>
      <c r="C40" s="9" t="inlineStr">
        <is>
          <t>eye_record</t>
        </is>
      </c>
      <c r="D40" s="9" t="inlineStr">
        <is>
          <t>NUMERICAL_SIMULATION</t>
        </is>
      </c>
      <c r="E40" s="9" t="inlineStr">
        <is>
          <t>PUBLIC</t>
        </is>
      </c>
      <c r="F40" s="9" t="inlineStr">
        <is>
          <t>rscs2_core.eye_ladder_analysis.CANONICAL_V41</t>
        </is>
      </c>
    </row>
    <row r="41">
      <c r="A41" s="9" t="inlineStr">
        <is>
          <t>eye_results</t>
        </is>
      </c>
      <c r="B41" s="9" t="inlineStr">
        <is>
          <t>EYE-V421-V5</t>
        </is>
      </c>
      <c r="C41" s="9" t="inlineStr">
        <is>
          <t>eye_record</t>
        </is>
      </c>
      <c r="D41" s="9" t="inlineStr">
        <is>
          <t>NUMERICAL_SIMULATION</t>
        </is>
      </c>
      <c r="E41" s="9" t="inlineStr">
        <is>
          <t>PUBLIC</t>
        </is>
      </c>
      <c r="F41" s="9" t="inlineStr">
        <is>
          <t>rscs2_core.eye_ladder_analysis.V421_LADDER</t>
        </is>
      </c>
    </row>
    <row r="42">
      <c r="A42" s="10" t="inlineStr">
        <is>
          <t>resonator_platform</t>
        </is>
      </c>
      <c r="B42" s="10" t="inlineStr">
        <is>
          <t>SPECIMEN-40ba9443285a</t>
        </is>
      </c>
      <c r="C42" s="10" t="inlineStr">
        <is>
          <t>resonator_certificate</t>
        </is>
      </c>
      <c r="D42" s="10" t="inlineStr">
        <is>
          <t>SYNTHETIC_RUN</t>
        </is>
      </c>
      <c r="E42" s="10" t="inlineStr">
        <is>
          <t>PUBLIC</t>
        </is>
      </c>
      <c r="F42" s="10" t="inlineStr">
        <is>
          <t>resonator_platform.campaign.run_campaign(seed=7)</t>
        </is>
      </c>
    </row>
    <row r="43">
      <c r="A43" s="6" t="inlineStr">
        <is>
          <t>hardware_bom</t>
        </is>
      </c>
      <c r="B43" s="6" t="inlineStr">
        <is>
          <t>HW-7248373726</t>
        </is>
      </c>
      <c r="C43" s="6" t="inlineStr">
        <is>
          <t>board_profile</t>
        </is>
      </c>
      <c r="D43" s="6" t="inlineStr">
        <is>
          <t>SOURCE_CLAIM</t>
        </is>
      </c>
      <c r="E43" s="6" t="inlineStr">
        <is>
          <t>PUBLIC</t>
        </is>
      </c>
      <c r="F43" s="6" t="inlineStr">
        <is>
          <t>fkey_instrument.boards (community docs)</t>
        </is>
      </c>
    </row>
    <row r="44">
      <c r="A44" s="6" t="inlineStr">
        <is>
          <t>hardware_bom</t>
        </is>
      </c>
      <c r="B44" s="6" t="inlineStr">
        <is>
          <t>HW-fa5f7a76f7</t>
        </is>
      </c>
      <c r="C44" s="6" t="inlineStr">
        <is>
          <t>board_profile</t>
        </is>
      </c>
      <c r="D44" s="6" t="inlineStr">
        <is>
          <t>SOURCE_CLAIM</t>
        </is>
      </c>
      <c r="E44" s="6" t="inlineStr">
        <is>
          <t>PUBLIC</t>
        </is>
      </c>
      <c r="F44" s="6" t="inlineStr">
        <is>
          <t>fkey_instrument.boards (community docs)</t>
        </is>
      </c>
    </row>
    <row r="45">
      <c r="A45" s="8" t="inlineStr">
        <is>
          <t>hardware_bom</t>
        </is>
      </c>
      <c r="B45" s="8" t="inlineStr">
        <is>
          <t>BOM-f90a86d0bb</t>
        </is>
      </c>
      <c r="C45" s="8" t="inlineStr">
        <is>
          <t>bom_item</t>
        </is>
      </c>
      <c r="D45" s="8" t="inlineStr">
        <is>
          <t>ANALYTIC_MODEL</t>
        </is>
      </c>
      <c r="E45" s="8" t="inlineStr">
        <is>
          <t>PUBLIC</t>
        </is>
      </c>
      <c r="F45" s="8" t="inlineStr">
        <is>
          <t>docs/v4/fkey/BOM_WIRING_GEN0.md</t>
        </is>
      </c>
    </row>
    <row r="46">
      <c r="A46" s="8" t="inlineStr">
        <is>
          <t>hardware_bom</t>
        </is>
      </c>
      <c r="B46" s="8" t="inlineStr">
        <is>
          <t>BOM-9043ce0521</t>
        </is>
      </c>
      <c r="C46" s="8" t="inlineStr">
        <is>
          <t>bom_item</t>
        </is>
      </c>
      <c r="D46" s="8" t="inlineStr">
        <is>
          <t>ANALYTIC_MODEL</t>
        </is>
      </c>
      <c r="E46" s="8" t="inlineStr">
        <is>
          <t>PUBLIC</t>
        </is>
      </c>
      <c r="F46" s="8" t="inlineStr">
        <is>
          <t>docs/v4/fkey/BOM_WIRING_GEN0.md</t>
        </is>
      </c>
    </row>
    <row r="47">
      <c r="A47" s="8" t="inlineStr">
        <is>
          <t>hardware_bom</t>
        </is>
      </c>
      <c r="B47" s="8" t="inlineStr">
        <is>
          <t>BOM-8cac66963e</t>
        </is>
      </c>
      <c r="C47" s="8" t="inlineStr">
        <is>
          <t>bom_item</t>
        </is>
      </c>
      <c r="D47" s="8" t="inlineStr">
        <is>
          <t>ANALYTIC_MODEL</t>
        </is>
      </c>
      <c r="E47" s="8" t="inlineStr">
        <is>
          <t>PUBLIC</t>
        </is>
      </c>
      <c r="F47" s="8" t="inlineStr">
        <is>
          <t>docs/v4/fkey/BOM_WIRING_GEN0.md</t>
        </is>
      </c>
    </row>
    <row r="48">
      <c r="A48" s="8" t="inlineStr">
        <is>
          <t>hardware_bom</t>
        </is>
      </c>
      <c r="B48" s="8" t="inlineStr">
        <is>
          <t>BOM-80b329afeb</t>
        </is>
      </c>
      <c r="C48" s="8" t="inlineStr">
        <is>
          <t>bom_item</t>
        </is>
      </c>
      <c r="D48" s="8" t="inlineStr">
        <is>
          <t>ANALYTIC_MODEL</t>
        </is>
      </c>
      <c r="E48" s="8" t="inlineStr">
        <is>
          <t>PUBLIC</t>
        </is>
      </c>
      <c r="F48" s="8" t="inlineStr">
        <is>
          <t>docs/v4/fkey/BOM_WIRING_GEN0.md</t>
        </is>
      </c>
    </row>
    <row r="49">
      <c r="A49" s="8" t="inlineStr">
        <is>
          <t>hardware_bom</t>
        </is>
      </c>
      <c r="B49" s="8" t="inlineStr">
        <is>
          <t>BOM-3d516ad5e5</t>
        </is>
      </c>
      <c r="C49" s="8" t="inlineStr">
        <is>
          <t>bom_item</t>
        </is>
      </c>
      <c r="D49" s="8" t="inlineStr">
        <is>
          <t>ANALYTIC_MODEL</t>
        </is>
      </c>
      <c r="E49" s="8" t="inlineStr">
        <is>
          <t>PUBLIC</t>
        </is>
      </c>
      <c r="F49" s="8" t="inlineStr">
        <is>
          <t>docs/v4/fkey/BOM_WIRING_GEN0.md</t>
        </is>
      </c>
    </row>
    <row r="50">
      <c r="A50" s="8" t="inlineStr">
        <is>
          <t>hardware_bom</t>
        </is>
      </c>
      <c r="B50" s="8" t="inlineStr">
        <is>
          <t>BOM-6b5661d323</t>
        </is>
      </c>
      <c r="C50" s="8" t="inlineStr">
        <is>
          <t>bom_item</t>
        </is>
      </c>
      <c r="D50" s="8" t="inlineStr">
        <is>
          <t>ANALYTIC_MODEL</t>
        </is>
      </c>
      <c r="E50" s="8" t="inlineStr">
        <is>
          <t>PUBLIC</t>
        </is>
      </c>
      <c r="F50" s="8" t="inlineStr">
        <is>
          <t>docs/v4/fkey/BOM_WIRING_GEN0.md</t>
        </is>
      </c>
    </row>
    <row r="51">
      <c r="A51" s="8" t="inlineStr">
        <is>
          <t>experiment_queue</t>
        </is>
      </c>
      <c r="B51" s="8" t="inlineStr">
        <is>
          <t>EXP-cbf6cf30a5</t>
        </is>
      </c>
      <c r="C51" s="8" t="inlineStr">
        <is>
          <t>experiment</t>
        </is>
      </c>
      <c r="D51" s="8" t="inlineStr">
        <is>
          <t>ANALYTIC_MODEL</t>
        </is>
      </c>
      <c r="E51" s="8" t="inlineStr">
        <is>
          <t>PUBLIC</t>
        </is>
      </c>
      <c r="F51" s="8" t="inlineStr">
        <is>
          <t>fkey_instrument.optimizer.CAMPAIGNS</t>
        </is>
      </c>
    </row>
    <row r="52">
      <c r="A52" s="8" t="inlineStr">
        <is>
          <t>experiment_queue</t>
        </is>
      </c>
      <c r="B52" s="8" t="inlineStr">
        <is>
          <t>EXP-8057b26115</t>
        </is>
      </c>
      <c r="C52" s="8" t="inlineStr">
        <is>
          <t>experiment</t>
        </is>
      </c>
      <c r="D52" s="8" t="inlineStr">
        <is>
          <t>ANALYTIC_MODEL</t>
        </is>
      </c>
      <c r="E52" s="8" t="inlineStr">
        <is>
          <t>PUBLIC</t>
        </is>
      </c>
      <c r="F52" s="8" t="inlineStr">
        <is>
          <t>fkey_instrument.optimizer.CAMPAIGNS</t>
        </is>
      </c>
    </row>
    <row r="53">
      <c r="A53" s="8" t="inlineStr">
        <is>
          <t>experiment_queue</t>
        </is>
      </c>
      <c r="B53" s="8" t="inlineStr">
        <is>
          <t>EXP-605171148d</t>
        </is>
      </c>
      <c r="C53" s="8" t="inlineStr">
        <is>
          <t>experiment</t>
        </is>
      </c>
      <c r="D53" s="8" t="inlineStr">
        <is>
          <t>ANALYTIC_MODEL</t>
        </is>
      </c>
      <c r="E53" s="8" t="inlineStr">
        <is>
          <t>PUBLIC</t>
        </is>
      </c>
      <c r="F53" s="8" t="inlineStr">
        <is>
          <t>fkey_instrument.optimizer.CAMPAIGNS</t>
        </is>
      </c>
    </row>
    <row r="54">
      <c r="A54" s="8" t="inlineStr">
        <is>
          <t>experiment_queue</t>
        </is>
      </c>
      <c r="B54" s="8" t="inlineStr">
        <is>
          <t>EXP-37d7772d76</t>
        </is>
      </c>
      <c r="C54" s="8" t="inlineStr">
        <is>
          <t>experiment</t>
        </is>
      </c>
      <c r="D54" s="8" t="inlineStr">
        <is>
          <t>ANALYTIC_MODEL</t>
        </is>
      </c>
      <c r="E54" s="8" t="inlineStr">
        <is>
          <t>PUBLIC</t>
        </is>
      </c>
      <c r="F54" s="8" t="inlineStr">
        <is>
          <t>fkey_instrument.optimizer.CAMPAIGNS</t>
        </is>
      </c>
    </row>
    <row r="55">
      <c r="A55" s="8" t="inlineStr">
        <is>
          <t>experiment_queue</t>
        </is>
      </c>
      <c r="B55" s="8" t="inlineStr">
        <is>
          <t>EXP-81f4a97823</t>
        </is>
      </c>
      <c r="C55" s="8" t="inlineStr">
        <is>
          <t>experiment</t>
        </is>
      </c>
      <c r="D55" s="8" t="inlineStr">
        <is>
          <t>ANALYTIC_MODEL</t>
        </is>
      </c>
      <c r="E55" s="8" t="inlineStr">
        <is>
          <t>PUBLIC</t>
        </is>
      </c>
      <c r="F55" s="8" t="inlineStr">
        <is>
          <t>fkey_instrument.optimizer.CAMPAIGNS</t>
        </is>
      </c>
    </row>
    <row r="56">
      <c r="A56" s="8" t="inlineStr">
        <is>
          <t>experiment_queue</t>
        </is>
      </c>
      <c r="B56" s="8" t="inlineStr">
        <is>
          <t>EXP-88d1574e7d</t>
        </is>
      </c>
      <c r="C56" s="8" t="inlineStr">
        <is>
          <t>experiment</t>
        </is>
      </c>
      <c r="D56" s="8" t="inlineStr">
        <is>
          <t>ANALYTIC_MODEL</t>
        </is>
      </c>
      <c r="E56" s="8" t="inlineStr">
        <is>
          <t>PUBLIC</t>
        </is>
      </c>
      <c r="F56" s="8" t="inlineStr">
        <is>
          <t>fkey_instrument.optimizer.CAMPAIGNS</t>
        </is>
      </c>
    </row>
    <row r="57">
      <c r="A57" s="8" t="inlineStr">
        <is>
          <t>experiment_queue</t>
        </is>
      </c>
      <c r="B57" s="8" t="inlineStr">
        <is>
          <t>EXP-1a93f49103</t>
        </is>
      </c>
      <c r="C57" s="8" t="inlineStr">
        <is>
          <t>experiment</t>
        </is>
      </c>
      <c r="D57" s="8" t="inlineStr">
        <is>
          <t>ANALYTIC_MODEL</t>
        </is>
      </c>
      <c r="E57" s="8" t="inlineStr">
        <is>
          <t>PUBLIC</t>
        </is>
      </c>
      <c r="F57" s="8" t="inlineStr">
        <is>
          <t>fkey_instrument.optimizer.CAMPAIGNS</t>
        </is>
      </c>
    </row>
    <row r="58">
      <c r="A58" s="8" t="inlineStr">
        <is>
          <t>experiment_queue</t>
        </is>
      </c>
      <c r="B58" s="8" t="inlineStr">
        <is>
          <t>EXP-fcb6bff5ab</t>
        </is>
      </c>
      <c r="C58" s="8" t="inlineStr">
        <is>
          <t>experiment</t>
        </is>
      </c>
      <c r="D58" s="8" t="inlineStr">
        <is>
          <t>ANALYTIC_MODEL</t>
        </is>
      </c>
      <c r="E58" s="8" t="inlineStr">
        <is>
          <t>PUBLIC</t>
        </is>
      </c>
      <c r="F58" s="8" t="inlineStr">
        <is>
          <t>fkey_instrument.optimizer.CAMPAIGNS</t>
        </is>
      </c>
    </row>
    <row r="59">
      <c r="A59" s="7" t="inlineStr">
        <is>
          <t>corrections</t>
        </is>
      </c>
      <c r="B59" s="7" t="inlineStr">
        <is>
          <t>FK-CORR-001</t>
        </is>
      </c>
      <c r="C59" s="7" t="inlineStr">
        <is>
          <t>correction</t>
        </is>
      </c>
      <c r="D59" s="7" t="inlineStr">
        <is>
          <t>DERIVED_ARITHMETIC</t>
        </is>
      </c>
      <c r="E59" s="7" t="inlineStr">
        <is>
          <t>PUBLIC</t>
        </is>
      </c>
      <c r="F59" s="7" t="inlineStr">
        <is>
          <t>fkey_instrument.crystal_mode.target_errors</t>
        </is>
      </c>
    </row>
    <row r="60">
      <c r="A60" s="7" t="inlineStr">
        <is>
          <t>corrections</t>
        </is>
      </c>
      <c r="B60" s="7" t="inlineStr">
        <is>
          <t>V4X-D-005</t>
        </is>
      </c>
      <c r="C60" s="7" t="inlineStr">
        <is>
          <t>correction</t>
        </is>
      </c>
      <c r="D60" s="7" t="inlineStr">
        <is>
          <t>DERIVED_ARITHMETIC</t>
        </is>
      </c>
      <c r="E60" s="7" t="inlineStr">
        <is>
          <t>PUBLIC</t>
        </is>
      </c>
      <c r="F60" s="7" t="inlineStr">
        <is>
          <t>docs/v4/V4X_DEFECT_REGISTER.md</t>
        </is>
      </c>
    </row>
    <row r="61">
      <c r="A61" s="7" t="inlineStr">
        <is>
          <t>corrections</t>
        </is>
      </c>
      <c r="B61" s="7" t="inlineStr">
        <is>
          <t>EYE-CARD-v4</t>
        </is>
      </c>
      <c r="C61" s="7" t="inlineStr">
        <is>
          <t>correction</t>
        </is>
      </c>
      <c r="D61" s="7" t="inlineStr">
        <is>
          <t>DERIVED_ARITHMETIC</t>
        </is>
      </c>
      <c r="E61" s="7" t="inlineStr">
        <is>
          <t>PUBLIC</t>
        </is>
      </c>
      <c r="F61" s="7" t="inlineStr">
        <is>
          <t>docs/v4/EYE_CLAIM_CARD.md</t>
        </is>
      </c>
    </row>
    <row r="62">
      <c r="A62" s="7" t="inlineStr">
        <is>
          <t>corrections</t>
        </is>
      </c>
      <c r="B62" s="7" t="inlineStr">
        <is>
          <t>V4X-D-004</t>
        </is>
      </c>
      <c r="C62" s="7" t="inlineStr">
        <is>
          <t>correction</t>
        </is>
      </c>
      <c r="D62" s="7" t="inlineStr">
        <is>
          <t>DERIVED_ARITHMETIC</t>
        </is>
      </c>
      <c r="E62" s="7" t="inlineStr">
        <is>
          <t>PUBLIC</t>
        </is>
      </c>
      <c r="F62" s="7" t="inlineStr">
        <is>
          <t>docs/v4/V4X_DEFECT_REGISTER.md</t>
        </is>
      </c>
    </row>
    <row r="63">
      <c r="A63" s="7" t="inlineStr">
        <is>
          <t>corrections</t>
        </is>
      </c>
      <c r="B63" s="7" t="inlineStr">
        <is>
          <t>CSPC-CORR-001</t>
        </is>
      </c>
      <c r="C63" s="7" t="inlineStr">
        <is>
          <t>correction</t>
        </is>
      </c>
      <c r="D63" s="7" t="inlineStr">
        <is>
          <t>DERIVED_ARITHMETIC</t>
        </is>
      </c>
      <c r="E63" s="7" t="inlineStr">
        <is>
          <t>PUBLIC</t>
        </is>
      </c>
      <c r="F63" s="7" t="inlineStr">
        <is>
          <t>dielectric relaxation spectroscopy; ITU ISM band allocation</t>
        </is>
      </c>
    </row>
    <row r="64">
      <c r="A64" s="7" t="inlineStr">
        <is>
          <t>corrections</t>
        </is>
      </c>
      <c r="B64" s="7" t="inlineStr">
        <is>
          <t>CSPC-CORR-002</t>
        </is>
      </c>
      <c r="C64" s="7" t="inlineStr">
        <is>
          <t>correction</t>
        </is>
      </c>
      <c r="D64" s="7" t="inlineStr">
        <is>
          <t>DERIVED_ARITHMETIC</t>
        </is>
      </c>
      <c r="E64" s="7" t="inlineStr">
        <is>
          <t>PUBLIC</t>
        </is>
      </c>
      <c r="F64" s="7" t="inlineStr">
        <is>
          <t>cspc.exact.DDS_36BIT_LSB; dimensional audit (cspc.units)</t>
        </is>
      </c>
    </row>
    <row r="65">
      <c r="A65" s="7" t="inlineStr">
        <is>
          <t>corrections</t>
        </is>
      </c>
      <c r="B65" s="7" t="inlineStr">
        <is>
          <t>CSPC-CORR-003</t>
        </is>
      </c>
      <c r="C65" s="7" t="inlineStr">
        <is>
          <t>correction</t>
        </is>
      </c>
      <c r="D65" s="7" t="inlineStr">
        <is>
          <t>DERIVED_ARITHMETIC</t>
        </is>
      </c>
      <c r="E65" s="7" t="inlineStr">
        <is>
          <t>PUBLIC</t>
        </is>
      </c>
      <c r="F65" s="7" t="inlineStr">
        <is>
          <t>definition of octave; 8^n = 2^(3n)</t>
        </is>
      </c>
    </row>
    <row r="66">
      <c r="A66" s="7" t="inlineStr">
        <is>
          <t>corrections</t>
        </is>
      </c>
      <c r="B66" s="7" t="inlineStr">
        <is>
          <t>CSPC-CORR-004</t>
        </is>
      </c>
      <c r="C66" s="7" t="inlineStr">
        <is>
          <t>correction</t>
        </is>
      </c>
      <c r="D66" s="7" t="inlineStr">
        <is>
          <t>DERIVED_ARITHMETIC</t>
        </is>
      </c>
      <c r="E66" s="7" t="inlineStr">
        <is>
          <t>PUBLIC</t>
        </is>
      </c>
      <c r="F66" s="7" t="inlineStr">
        <is>
          <t>cspc transfer firewalls ARITHMETIC_TO_SPECTRUM, SPECTRUM_TO_COUPLING, TEMPORAL_ORDER_TO_TRAVEL</t>
        </is>
      </c>
    </row>
    <row r="67">
      <c r="A67" s="7" t="inlineStr">
        <is>
          <t>corrections</t>
        </is>
      </c>
      <c r="B67" s="7" t="inlineStr">
        <is>
          <t>CSPC-CORR-005</t>
        </is>
      </c>
      <c r="C67" s="7" t="inlineStr">
        <is>
          <t>correction</t>
        </is>
      </c>
      <c r="D67" s="7" t="inlineStr">
        <is>
          <t>DERIVED_ARITHMETIC</t>
        </is>
      </c>
      <c r="E67" s="7" t="inlineStr">
        <is>
          <t>PUBLIC</t>
        </is>
      </c>
      <c r="F67" s="7" t="inlineStr">
        <is>
          <t>transfer firewall SOURCE_PRECISION_TO_MEASUREMENT_PRECISION; cspc.units.Quantity.precision_audit</t>
        </is>
      </c>
    </row>
    <row r="68">
      <c r="A68" s="8" t="inlineStr">
        <is>
          <t>corrections</t>
        </is>
      </c>
      <c r="B68" s="8" t="inlineStr">
        <is>
          <t>CSPC-CORR-001-QUANT</t>
        </is>
      </c>
      <c r="C68" s="8" t="inlineStr">
        <is>
          <t>correction</t>
        </is>
      </c>
      <c r="D68" s="8" t="inlineStr">
        <is>
          <t>ANALYTIC_MODEL</t>
        </is>
      </c>
      <c r="E68" s="8" t="inlineStr">
        <is>
          <t>PUBLIC</t>
        </is>
      </c>
      <c r="F68" s="8" t="inlineStr">
        <is>
          <t>cspc.experiments.water_2g45_correction</t>
        </is>
      </c>
    </row>
    <row r="69">
      <c r="A69" s="7" t="inlineStr">
        <is>
          <t>cspc_candidates</t>
        </is>
      </c>
      <c r="B69" s="7" t="inlineStr">
        <is>
          <t>FKEY-CSPC-DELTA</t>
        </is>
      </c>
      <c r="C69" s="7" t="inlineStr">
        <is>
          <t>cspc_candidate</t>
        </is>
      </c>
      <c r="D69" s="7" t="inlineStr">
        <is>
          <t>DERIVED_ARITHMETIC</t>
        </is>
      </c>
      <c r="E69" s="7" t="inlineStr">
        <is>
          <t>PUBLIC</t>
        </is>
      </c>
      <c r="F69" s="7" t="inlineStr">
        <is>
          <t>2.45e9 / 2^36</t>
        </is>
      </c>
    </row>
    <row r="70">
      <c r="A70" s="7" t="inlineStr">
        <is>
          <t>cspc_candidates</t>
        </is>
      </c>
      <c r="B70" s="7" t="inlineStr">
        <is>
          <t>FKEY-CSPC-FOLD-5</t>
        </is>
      </c>
      <c r="C70" s="7" t="inlineStr">
        <is>
          <t>cspc_candidate</t>
        </is>
      </c>
      <c r="D70" s="7" t="inlineStr">
        <is>
          <t>DERIVED_ARITHMETIC</t>
        </is>
      </c>
      <c r="E70" s="7" t="inlineStr">
        <is>
          <t>PUBLIC</t>
        </is>
      </c>
      <c r="F70" s="7" t="inlineStr">
        <is>
          <t>2.45e9 / 8^5</t>
        </is>
      </c>
    </row>
    <row r="71">
      <c r="A71" s="7" t="inlineStr">
        <is>
          <t>cspc_candidates</t>
        </is>
      </c>
      <c r="B71" s="7" t="inlineStr">
        <is>
          <t>FKEY-CSPC-FOLD-6</t>
        </is>
      </c>
      <c r="C71" s="7" t="inlineStr">
        <is>
          <t>cspc_candidate</t>
        </is>
      </c>
      <c r="D71" s="7" t="inlineStr">
        <is>
          <t>DERIVED_ARITHMETIC</t>
        </is>
      </c>
      <c r="E71" s="7" t="inlineStr">
        <is>
          <t>PUBLIC</t>
        </is>
      </c>
      <c r="F71" s="7" t="inlineStr">
        <is>
          <t>2.45e9 / 8^6</t>
        </is>
      </c>
    </row>
    <row r="72">
      <c r="A72" s="7" t="inlineStr">
        <is>
          <t>cspc_candidates</t>
        </is>
      </c>
      <c r="B72" s="7" t="inlineStr">
        <is>
          <t>FKEY-CSPC-FOLD-7</t>
        </is>
      </c>
      <c r="C72" s="7" t="inlineStr">
        <is>
          <t>cspc_candidate</t>
        </is>
      </c>
      <c r="D72" s="7" t="inlineStr">
        <is>
          <t>DERIVED_ARITHMETIC</t>
        </is>
      </c>
      <c r="E72" s="7" t="inlineStr">
        <is>
          <t>PUBLIC</t>
        </is>
      </c>
      <c r="F72" s="7" t="inlineStr">
        <is>
          <t>2.45e9 / 8^7</t>
        </is>
      </c>
    </row>
    <row r="73">
      <c r="A73" s="7" t="inlineStr">
        <is>
          <t>cspc_candidates</t>
        </is>
      </c>
      <c r="B73" s="7" t="inlineStr">
        <is>
          <t>FKEY-CSPC-FOLD-8</t>
        </is>
      </c>
      <c r="C73" s="7" t="inlineStr">
        <is>
          <t>cspc_candidate</t>
        </is>
      </c>
      <c r="D73" s="7" t="inlineStr">
        <is>
          <t>DERIVED_ARITHMETIC</t>
        </is>
      </c>
      <c r="E73" s="7" t="inlineStr">
        <is>
          <t>PUBLIC</t>
        </is>
      </c>
      <c r="F73" s="7" t="inlineStr">
        <is>
          <t>2.45e9 / 8^8</t>
        </is>
      </c>
    </row>
    <row r="74">
      <c r="A74" s="7" t="inlineStr">
        <is>
          <t>cspc_candidates</t>
        </is>
      </c>
      <c r="B74" s="7" t="inlineStr">
        <is>
          <t>FKEY-CSPC-FOLD-9</t>
        </is>
      </c>
      <c r="C74" s="7" t="inlineStr">
        <is>
          <t>cspc_candidate</t>
        </is>
      </c>
      <c r="D74" s="7" t="inlineStr">
        <is>
          <t>DERIVED_ARITHMETIC</t>
        </is>
      </c>
      <c r="E74" s="7" t="inlineStr">
        <is>
          <t>PUBLIC</t>
        </is>
      </c>
      <c r="F74" s="7" t="inlineStr">
        <is>
          <t>2.45e9 / 8^9</t>
        </is>
      </c>
    </row>
    <row r="75">
      <c r="A75" s="7" t="inlineStr">
        <is>
          <t>cspc_candidates</t>
        </is>
      </c>
      <c r="B75" s="7" t="inlineStr">
        <is>
          <t>FKEY-CSPC-FOLD-10</t>
        </is>
      </c>
      <c r="C75" s="7" t="inlineStr">
        <is>
          <t>cspc_candidate</t>
        </is>
      </c>
      <c r="D75" s="7" t="inlineStr">
        <is>
          <t>DERIVED_ARITHMETIC</t>
        </is>
      </c>
      <c r="E75" s="7" t="inlineStr">
        <is>
          <t>PUBLIC</t>
        </is>
      </c>
      <c r="F75" s="7" t="inlineStr">
        <is>
          <t>2.45e9 / 8^10</t>
        </is>
      </c>
    </row>
    <row r="76">
      <c r="A76" s="7" t="inlineStr">
        <is>
          <t>cspc_candidates</t>
        </is>
      </c>
      <c r="B76" s="7" t="inlineStr">
        <is>
          <t>FKEY-CSPC-FOLD-11</t>
        </is>
      </c>
      <c r="C76" s="7" t="inlineStr">
        <is>
          <t>cspc_candidate</t>
        </is>
      </c>
      <c r="D76" s="7" t="inlineStr">
        <is>
          <t>DERIVED_ARITHMETIC</t>
        </is>
      </c>
      <c r="E76" s="7" t="inlineStr">
        <is>
          <t>PUBLIC</t>
        </is>
      </c>
      <c r="F76" s="7" t="inlineStr">
        <is>
          <t>2.45e9 / 8^11</t>
        </is>
      </c>
    </row>
    <row r="77">
      <c r="A77" s="7" t="inlineStr">
        <is>
          <t>cspc_candidates</t>
        </is>
      </c>
      <c r="B77" s="7" t="inlineStr">
        <is>
          <t>FKEY-CSPC-OPT</t>
        </is>
      </c>
      <c r="C77" s="7" t="inlineStr">
        <is>
          <t>cspc_candidate</t>
        </is>
      </c>
      <c r="D77" s="7" t="inlineStr">
        <is>
          <t>DERIVED_ARITHMETIC</t>
        </is>
      </c>
      <c r="E77" s="7" t="inlineStr">
        <is>
          <t>PUBLIC</t>
        </is>
      </c>
      <c r="F77" s="7" t="inlineStr">
        <is>
          <t>4096 * 2^37 = 2^49</t>
        </is>
      </c>
    </row>
    <row r="78">
      <c r="A78" s="7" t="inlineStr">
        <is>
          <t>cspc_candidates</t>
        </is>
      </c>
      <c r="B78" s="7" t="inlineStr">
        <is>
          <t>FKEY-CSPC-OPT-LAMBDA</t>
        </is>
      </c>
      <c r="C78" s="7" t="inlineStr">
        <is>
          <t>cspc_candidate</t>
        </is>
      </c>
      <c r="D78" s="7" t="inlineStr">
        <is>
          <t>DERIVED_ARITHMETIC</t>
        </is>
      </c>
      <c r="E78" s="7" t="inlineStr">
        <is>
          <t>PUBLIC</t>
        </is>
      </c>
      <c r="F78" s="7" t="inlineStr">
        <is>
          <t>c / (4096 * 2^37), c exact by SI definition</t>
        </is>
      </c>
    </row>
    <row r="79">
      <c r="A79" s="7" t="inlineStr">
        <is>
          <t>cspc_candidates</t>
        </is>
      </c>
      <c r="B79" s="7" t="inlineStr">
        <is>
          <t>FKEY-4096</t>
        </is>
      </c>
      <c r="C79" s="7" t="inlineStr">
        <is>
          <t>cspc_candidate</t>
        </is>
      </c>
      <c r="D79" s="7" t="inlineStr">
        <is>
          <t>DERIVED_ARITHMETIC</t>
        </is>
      </c>
      <c r="E79" s="7" t="inlineStr">
        <is>
          <t>PUBLIC</t>
        </is>
      </c>
      <c r="F79" s="7" t="inlineStr">
        <is>
          <t>source/derived master</t>
        </is>
      </c>
    </row>
    <row r="80">
      <c r="A80" s="7" t="inlineStr">
        <is>
          <t>cspc_candidates</t>
        </is>
      </c>
      <c r="B80" s="7" t="inlineStr">
        <is>
          <t>FKEY-20480</t>
        </is>
      </c>
      <c r="C80" s="7" t="inlineStr">
        <is>
          <t>cspc_candidate</t>
        </is>
      </c>
      <c r="D80" s="7" t="inlineStr">
        <is>
          <t>DERIVED_ARITHMETIC</t>
        </is>
      </c>
      <c r="E80" s="7" t="inlineStr">
        <is>
          <t>PUBLIC</t>
        </is>
      </c>
      <c r="F80" s="7" t="inlineStr">
        <is>
          <t>4096 * 5</t>
        </is>
      </c>
    </row>
    <row r="81">
      <c r="A81" s="7" t="inlineStr">
        <is>
          <t>cspc_candidates</t>
        </is>
      </c>
      <c r="B81" s="7" t="inlineStr">
        <is>
          <t>FKEY-32768</t>
        </is>
      </c>
      <c r="C81" s="7" t="inlineStr">
        <is>
          <t>cspc_candidate</t>
        </is>
      </c>
      <c r="D81" s="7" t="inlineStr">
        <is>
          <t>DERIVED_ARITHMETIC</t>
        </is>
      </c>
      <c r="E81" s="7" t="inlineStr">
        <is>
          <t>PUBLIC</t>
        </is>
      </c>
      <c r="F81" s="7" t="inlineStr">
        <is>
          <t>2^15</t>
        </is>
      </c>
    </row>
    <row r="82">
      <c r="A82" s="7" t="inlineStr">
        <is>
          <t>cspc_candidates</t>
        </is>
      </c>
      <c r="B82" s="7" t="inlineStr">
        <is>
          <t>FKEY-40960</t>
        </is>
      </c>
      <c r="C82" s="7" t="inlineStr">
        <is>
          <t>cspc_candidate</t>
        </is>
      </c>
      <c r="D82" s="7" t="inlineStr">
        <is>
          <t>DERIVED_ARITHMETIC</t>
        </is>
      </c>
      <c r="E82" s="7" t="inlineStr">
        <is>
          <t>PUBLIC</t>
        </is>
      </c>
      <c r="F82" s="7" t="inlineStr">
        <is>
          <t>20480 * 2</t>
        </is>
      </c>
    </row>
    <row r="83">
      <c r="A83" s="7" t="inlineStr">
        <is>
          <t>cspc_candidates</t>
        </is>
      </c>
      <c r="B83" s="7" t="inlineStr">
        <is>
          <t>FKEY-20_48</t>
        </is>
      </c>
      <c r="C83" s="7" t="inlineStr">
        <is>
          <t>cspc_candidate</t>
        </is>
      </c>
      <c r="D83" s="7" t="inlineStr">
        <is>
          <t>DERIVED_ARITHMETIC</t>
        </is>
      </c>
      <c r="E83" s="7" t="inlineStr">
        <is>
          <t>PUBLIC</t>
        </is>
      </c>
      <c r="F83" s="7" t="inlineStr">
        <is>
          <t>4096 / 200</t>
        </is>
      </c>
    </row>
    <row r="84">
      <c r="A84" s="7" t="inlineStr">
        <is>
          <t>cspc_candidates</t>
        </is>
      </c>
      <c r="B84" s="7" t="inlineStr">
        <is>
          <t>FKEY-40_96</t>
        </is>
      </c>
      <c r="C84" s="7" t="inlineStr">
        <is>
          <t>cspc_candidate</t>
        </is>
      </c>
      <c r="D84" s="7" t="inlineStr">
        <is>
          <t>DERIVED_ARITHMETIC</t>
        </is>
      </c>
      <c r="E84" s="7" t="inlineStr">
        <is>
          <t>PUBLIC</t>
        </is>
      </c>
      <c r="F84" s="7" t="inlineStr">
        <is>
          <t>4096 / 100</t>
        </is>
      </c>
    </row>
    <row r="85">
      <c r="A85" s="7" t="inlineStr">
        <is>
          <t>cspc_candidates</t>
        </is>
      </c>
      <c r="B85" s="7" t="inlineStr">
        <is>
          <t>FKEY-8HZ</t>
        </is>
      </c>
      <c r="C85" s="7" t="inlineStr">
        <is>
          <t>cspc_candidate</t>
        </is>
      </c>
      <c r="D85" s="7" t="inlineStr">
        <is>
          <t>DERIVED_ARITHMETIC</t>
        </is>
      </c>
      <c r="E85" s="7" t="inlineStr">
        <is>
          <t>PUBLIC</t>
        </is>
      </c>
      <c r="F85" s="7" t="inlineStr">
        <is>
          <t>historical/base</t>
        </is>
      </c>
    </row>
    <row r="86">
      <c r="A86" s="6" t="inlineStr">
        <is>
          <t>cspc_tetrahedron</t>
        </is>
      </c>
      <c r="B86" s="6" t="inlineStr">
        <is>
          <t>TETRA-AMBIGUITY</t>
        </is>
      </c>
      <c r="C86" s="6" t="inlineStr">
        <is>
          <t>ambiguity</t>
        </is>
      </c>
      <c r="D86" s="6" t="inlineStr">
        <is>
          <t>SOURCE_CLAIM</t>
        </is>
      </c>
      <c r="E86" s="6" t="inlineStr">
        <is>
          <t>PUBLIC</t>
        </is>
      </c>
      <c r="F86" s="6" t="inlineStr">
        <is>
          <t>cspc.tetra.ambiguity_report</t>
        </is>
      </c>
    </row>
    <row r="87">
      <c r="A87" s="7" t="inlineStr">
        <is>
          <t>cspc_tetrahedron</t>
        </is>
      </c>
      <c r="B87" s="7" t="inlineStr">
        <is>
          <t>TETRA-CUBIC-4x4x4</t>
        </is>
      </c>
      <c r="C87" s="7" t="inlineStr">
        <is>
          <t>complex</t>
        </is>
      </c>
      <c r="D87" s="7" t="inlineStr">
        <is>
          <t>DERIVED_ARITHMETIC</t>
        </is>
      </c>
      <c r="E87" s="7" t="inlineStr">
        <is>
          <t>PUBLIC</t>
        </is>
      </c>
      <c r="F87" s="7" t="inlineStr">
        <is>
          <t>cspc.tetra reading=READ-NODES-CUBIC</t>
        </is>
      </c>
    </row>
    <row r="88">
      <c r="A88" s="7" t="inlineStr">
        <is>
          <t>cspc_tetrahedron</t>
        </is>
      </c>
      <c r="B88" s="7" t="inlineStr">
        <is>
          <t>TETRA-HYPERCUBE-Q6</t>
        </is>
      </c>
      <c r="C88" s="7" t="inlineStr">
        <is>
          <t>complex</t>
        </is>
      </c>
      <c r="D88" s="7" t="inlineStr">
        <is>
          <t>DERIVED_ARITHMETIC</t>
        </is>
      </c>
      <c r="E88" s="7" t="inlineStr">
        <is>
          <t>PUBLIC</t>
        </is>
      </c>
      <c r="F88" s="7" t="inlineStr">
        <is>
          <t>cspc.tetra reading=READ-NODES-HYPERCUBE</t>
        </is>
      </c>
    </row>
    <row r="89">
      <c r="A89" s="7" t="inlineStr">
        <is>
          <t>cspc_tetrahedron</t>
        </is>
      </c>
      <c r="B89" s="7" t="inlineStr">
        <is>
          <t>TETRA-TETRA-SUBDIV</t>
        </is>
      </c>
      <c r="C89" s="7" t="inlineStr">
        <is>
          <t>complex</t>
        </is>
      </c>
      <c r="D89" s="7" t="inlineStr">
        <is>
          <t>DERIVED_ARITHMETIC</t>
        </is>
      </c>
      <c r="E89" s="7" t="inlineStr">
        <is>
          <t>PUBLIC</t>
        </is>
      </c>
      <c r="F89" s="7" t="inlineStr">
        <is>
          <t>cspc.tetra reading=READ-CELLS-SUBDIV</t>
        </is>
      </c>
    </row>
    <row r="90">
      <c r="A90" s="7" t="inlineStr">
        <is>
          <t>cspc_tetrahedron</t>
        </is>
      </c>
      <c r="B90" s="7" t="inlineStr">
        <is>
          <t>TETRA-FULLER-VE-64</t>
        </is>
      </c>
      <c r="C90" s="7" t="inlineStr">
        <is>
          <t>complex</t>
        </is>
      </c>
      <c r="D90" s="7" t="inlineStr">
        <is>
          <t>DERIVED_ARITHMETIC</t>
        </is>
      </c>
      <c r="E90" s="7" t="inlineStr">
        <is>
          <t>PUBLIC</t>
        </is>
      </c>
      <c r="F90" s="7" t="inlineStr">
        <is>
          <t>cspc.tetra reading=READ-CELLS-FULLER</t>
        </is>
      </c>
    </row>
    <row r="91">
      <c r="A91" s="8" t="inlineStr">
        <is>
          <t>cspc_spacetime</t>
        </is>
      </c>
      <c r="B91" s="8" t="inlineStr">
        <is>
          <t>ENERGY-AUDIT-100W-1H</t>
        </is>
      </c>
      <c r="C91" s="8" t="inlineStr">
        <is>
          <t>energy_audit</t>
        </is>
      </c>
      <c r="D91" s="8" t="inlineStr">
        <is>
          <t>ANALYTIC_MODEL</t>
        </is>
      </c>
      <c r="E91" s="8" t="inlineStr">
        <is>
          <t>PUBLIC</t>
        </is>
      </c>
      <c r="F91" s="8" t="inlineStr">
        <is>
          <t>cspc.spacetime.energy_audit</t>
        </is>
      </c>
    </row>
    <row r="92">
      <c r="A92" s="13" t="inlineStr">
        <is>
          <t>cspc_spacetime</t>
        </is>
      </c>
      <c r="B92" s="13" t="inlineStr">
        <is>
          <t>TRV-001</t>
        </is>
      </c>
      <c r="C92" s="13" t="inlineStr">
        <is>
          <t>travel_claim</t>
        </is>
      </c>
      <c r="D92" s="13" t="inlineStr">
        <is>
          <t>UNSUPPORTED</t>
        </is>
      </c>
      <c r="E92" s="13" t="inlineStr">
        <is>
          <t>PUBLIC</t>
        </is>
      </c>
      <c r="F92" s="13" t="inlineStr">
        <is>
          <t>cspc.spacetime.TRAVEL_CLAIMS</t>
        </is>
      </c>
    </row>
    <row r="93">
      <c r="A93" s="13" t="inlineStr">
        <is>
          <t>cspc_spacetime</t>
        </is>
      </c>
      <c r="B93" s="13" t="inlineStr">
        <is>
          <t>TRV-002</t>
        </is>
      </c>
      <c r="C93" s="13" t="inlineStr">
        <is>
          <t>travel_claim</t>
        </is>
      </c>
      <c r="D93" s="13" t="inlineStr">
        <is>
          <t>UNSUPPORTED</t>
        </is>
      </c>
      <c r="E93" s="13" t="inlineStr">
        <is>
          <t>PUBLIC</t>
        </is>
      </c>
      <c r="F93" s="13" t="inlineStr">
        <is>
          <t>cspc.spacetime.TRAVEL_CLAIMS</t>
        </is>
      </c>
    </row>
    <row r="94">
      <c r="A94" s="13" t="inlineStr">
        <is>
          <t>cspc_spacetime</t>
        </is>
      </c>
      <c r="B94" s="13" t="inlineStr">
        <is>
          <t>TRV-003</t>
        </is>
      </c>
      <c r="C94" s="13" t="inlineStr">
        <is>
          <t>travel_claim</t>
        </is>
      </c>
      <c r="D94" s="13" t="inlineStr">
        <is>
          <t>UNSUPPORTED</t>
        </is>
      </c>
      <c r="E94" s="13" t="inlineStr">
        <is>
          <t>PUBLIC</t>
        </is>
      </c>
      <c r="F94" s="13" t="inlineStr">
        <is>
          <t>cspc.spacetime.TRAVEL_CLAIMS</t>
        </is>
      </c>
    </row>
    <row r="95">
      <c r="A95" s="13" t="inlineStr">
        <is>
          <t>cspc_spacetime</t>
        </is>
      </c>
      <c r="B95" s="13" t="inlineStr">
        <is>
          <t>TRV-004</t>
        </is>
      </c>
      <c r="C95" s="13" t="inlineStr">
        <is>
          <t>travel_claim</t>
        </is>
      </c>
      <c r="D95" s="13" t="inlineStr">
        <is>
          <t>UNSUPPORTED</t>
        </is>
      </c>
      <c r="E95" s="13" t="inlineStr">
        <is>
          <t>PUBLIC</t>
        </is>
      </c>
      <c r="F95" s="13" t="inlineStr">
        <is>
          <t>cspc.spacetime.TRAVEL_CLAIMS</t>
        </is>
      </c>
    </row>
    <row r="96">
      <c r="A96" s="13" t="inlineStr">
        <is>
          <t>cspc_spacetime</t>
        </is>
      </c>
      <c r="B96" s="13" t="inlineStr">
        <is>
          <t>TRV-005</t>
        </is>
      </c>
      <c r="C96" s="13" t="inlineStr">
        <is>
          <t>travel_claim</t>
        </is>
      </c>
      <c r="D96" s="13" t="inlineStr">
        <is>
          <t>UNSUPPORTED</t>
        </is>
      </c>
      <c r="E96" s="13" t="inlineStr">
        <is>
          <t>PUBLIC</t>
        </is>
      </c>
      <c r="F96" s="13" t="inlineStr">
        <is>
          <t>cspc.spacetime.TRAVEL_CLAIMS</t>
        </is>
      </c>
    </row>
    <row r="97">
      <c r="A97" s="8" t="inlineStr">
        <is>
          <t>cspc_experiments</t>
        </is>
      </c>
      <c r="B97" s="8" t="inlineStr">
        <is>
          <t>CSPC-EXP-FOLD-18</t>
        </is>
      </c>
      <c r="C97" s="8" t="inlineStr">
        <is>
          <t>preregistration</t>
        </is>
      </c>
      <c r="D97" s="8" t="inlineStr">
        <is>
          <t>ANALYTIC_MODEL</t>
        </is>
      </c>
      <c r="E97" s="8" t="inlineStr">
        <is>
          <t>PUBLIC</t>
        </is>
      </c>
      <c r="F97" s="8" t="inlineStr">
        <is>
          <t>cspc.experiments</t>
        </is>
      </c>
    </row>
    <row r="98">
      <c r="A98" s="8" t="inlineStr">
        <is>
          <t>cspc_experiments</t>
        </is>
      </c>
      <c r="B98" s="8" t="inlineStr">
        <is>
          <t>CSPC-EXP-OPT-532</t>
        </is>
      </c>
      <c r="C98" s="8" t="inlineStr">
        <is>
          <t>preregistration</t>
        </is>
      </c>
      <c r="D98" s="8" t="inlineStr">
        <is>
          <t>ANALYTIC_MODEL</t>
        </is>
      </c>
      <c r="E98" s="8" t="inlineStr">
        <is>
          <t>PUBLIC</t>
        </is>
      </c>
      <c r="F98" s="8" t="inlineStr">
        <is>
          <t>cspc.experiments</t>
        </is>
      </c>
    </row>
    <row r="99">
      <c r="A99" s="7" t="inlineStr">
        <is>
          <t>pmwr_recovery</t>
        </is>
      </c>
      <c r="B99" s="7" t="inlineStr">
        <is>
          <t>PMWR-CLOSURE-ALIAS</t>
        </is>
      </c>
      <c r="C99" s="7" t="inlineStr">
        <is>
          <t>ambiguity</t>
        </is>
      </c>
      <c r="D99" s="7" t="inlineStr">
        <is>
          <t>DERIVED_ARITHMETIC</t>
        </is>
      </c>
      <c r="E99" s="7" t="inlineStr">
        <is>
          <t>PUBLIC</t>
        </is>
      </c>
      <c r="F99" s="7" t="inlineStr">
        <is>
          <t>pmwr.recovery.closure_delay_ambiguity</t>
        </is>
      </c>
    </row>
    <row r="100">
      <c r="A100" s="7" t="inlineStr">
        <is>
          <t>pmwr_recovery</t>
        </is>
      </c>
      <c r="B100" s="7" t="inlineStr">
        <is>
          <t>PMWR-DUAL-LATTICE</t>
        </is>
      </c>
      <c r="C100" s="7" t="inlineStr">
        <is>
          <t>probe_design</t>
        </is>
      </c>
      <c r="D100" s="7" t="inlineStr">
        <is>
          <t>DERIVED_ARITHMETIC</t>
        </is>
      </c>
      <c r="E100" s="7" t="inlineStr">
        <is>
          <t>PUBLIC</t>
        </is>
      </c>
      <c r="F100" s="7" t="inlineStr">
        <is>
          <t>pmwr.recovery.dual_lattice_probe</t>
        </is>
      </c>
    </row>
    <row r="101">
      <c r="A101" s="8" t="inlineStr">
        <is>
          <t>pmwr_recovery</t>
        </is>
      </c>
      <c r="B101" s="8" t="inlineStr">
        <is>
          <t>PMWR-TWO-GEODESIC</t>
        </is>
      </c>
      <c r="C101" s="8" t="inlineStr">
        <is>
          <t>worldline_channel</t>
        </is>
      </c>
      <c r="D101" s="8" t="inlineStr">
        <is>
          <t>ANALYTIC_MODEL</t>
        </is>
      </c>
      <c r="E101" s="8" t="inlineStr">
        <is>
          <t>PUBLIC</t>
        </is>
      </c>
      <c r="F101" s="8" t="inlineStr">
        <is>
          <t>pmwr.worldline.two_geodesic_case</t>
        </is>
      </c>
    </row>
    <row r="102">
      <c r="A102" s="7" t="inlineStr">
        <is>
          <t>pmwr_recovery</t>
        </is>
      </c>
      <c r="B102" s="7" t="inlineStr">
        <is>
          <t>PMWR-NOVELTY</t>
        </is>
      </c>
      <c r="C102" s="7" t="inlineStr">
        <is>
          <t>novelty_boundary</t>
        </is>
      </c>
      <c r="D102" s="7" t="inlineStr">
        <is>
          <t>DERIVED_ARITHMETIC</t>
        </is>
      </c>
      <c r="E102" s="7" t="inlineStr">
        <is>
          <t>PUBLIC</t>
        </is>
      </c>
      <c r="F102" s="7" t="inlineStr">
        <is>
          <t>pmwr.ingest.NOVELTY_BOUNDARY</t>
        </is>
      </c>
    </row>
    <row r="103">
      <c r="A103" s="16" t="inlineStr">
        <is>
          <t>pmwr_crystal</t>
        </is>
      </c>
      <c r="B103" s="16" t="inlineStr">
        <is>
          <t>ANGLE-360_over_7</t>
        </is>
      </c>
      <c r="C103" s="16" t="inlineStr">
        <is>
          <t>geometry_candidate</t>
        </is>
      </c>
      <c r="D103" s="16" t="inlineStr">
        <is>
          <t>GEOMETRY_IDENTITY</t>
        </is>
      </c>
      <c r="E103" s="16" t="inlineStr">
        <is>
          <t>PUBLIC</t>
        </is>
      </c>
      <c r="F103" s="16" t="inlineStr">
        <is>
          <t>pmwr.crystal.pyramid_ratio_audit</t>
        </is>
      </c>
    </row>
    <row r="104">
      <c r="A104" s="16" t="inlineStr">
        <is>
          <t>pmwr_crystal</t>
        </is>
      </c>
      <c r="B104" s="16" t="inlineStr">
        <is>
          <t>ANGLE-51_843</t>
        </is>
      </c>
      <c r="C104" s="16" t="inlineStr">
        <is>
          <t>geometry_candidate</t>
        </is>
      </c>
      <c r="D104" s="16" t="inlineStr">
        <is>
          <t>GEOMETRY_IDENTITY</t>
        </is>
      </c>
      <c r="E104" s="16" t="inlineStr">
        <is>
          <t>PUBLIC</t>
        </is>
      </c>
      <c r="F104" s="16" t="inlineStr">
        <is>
          <t>pmwr.crystal.pyramid_ratio_audit</t>
        </is>
      </c>
    </row>
    <row r="105">
      <c r="A105" s="16" t="inlineStr">
        <is>
          <t>pmwr_crystal</t>
        </is>
      </c>
      <c r="B105" s="16" t="inlineStr">
        <is>
          <t>ANGLE-51_51_51_DMS</t>
        </is>
      </c>
      <c r="C105" s="16" t="inlineStr">
        <is>
          <t>geometry_candidate</t>
        </is>
      </c>
      <c r="D105" s="16" t="inlineStr">
        <is>
          <t>GEOMETRY_IDENTITY</t>
        </is>
      </c>
      <c r="E105" s="16" t="inlineStr">
        <is>
          <t>PUBLIC</t>
        </is>
      </c>
      <c r="F105" s="16" t="inlineStr">
        <is>
          <t>pmwr.crystal.pyramid_ratio_audit</t>
        </is>
      </c>
    </row>
    <row r="106">
      <c r="A106" s="16" t="inlineStr">
        <is>
          <t>pmwr_crystal</t>
        </is>
      </c>
      <c r="B106" s="16" t="inlineStr">
        <is>
          <t>ANGLE-Great_Pyramid_nominal</t>
        </is>
      </c>
      <c r="C106" s="16" t="inlineStr">
        <is>
          <t>geometry_candidate</t>
        </is>
      </c>
      <c r="D106" s="16" t="inlineStr">
        <is>
          <t>GEOMETRY_IDENTITY</t>
        </is>
      </c>
      <c r="E106" s="16" t="inlineStr">
        <is>
          <t>PUBLIC</t>
        </is>
      </c>
      <c r="F106" s="16" t="inlineStr">
        <is>
          <t>pmwr.crystal.pyramid_ratio_audit</t>
        </is>
      </c>
    </row>
    <row r="107">
      <c r="A107" s="16" t="inlineStr">
        <is>
          <t>pmwr_crystal</t>
        </is>
      </c>
      <c r="B107" s="16" t="inlineStr">
        <is>
          <t>ANGLE-rounded_52</t>
        </is>
      </c>
      <c r="C107" s="16" t="inlineStr">
        <is>
          <t>geometry_candidate</t>
        </is>
      </c>
      <c r="D107" s="16" t="inlineStr">
        <is>
          <t>GEOMETRY_IDENTITY</t>
        </is>
      </c>
      <c r="E107" s="16" t="inlineStr">
        <is>
          <t>PUBLIC</t>
        </is>
      </c>
      <c r="F107" s="16" t="inlineStr">
        <is>
          <t>pmwr.crystal.pyramid_ratio_audit</t>
        </is>
      </c>
    </row>
    <row r="108">
      <c r="A108" s="16" t="inlineStr">
        <is>
          <t>pmwr_crystal</t>
        </is>
      </c>
      <c r="B108" s="16" t="inlineStr">
        <is>
          <t>ANGLE-emitter_58</t>
        </is>
      </c>
      <c r="C108" s="16" t="inlineStr">
        <is>
          <t>geometry_candidate</t>
        </is>
      </c>
      <c r="D108" s="16" t="inlineStr">
        <is>
          <t>GEOMETRY_IDENTITY</t>
        </is>
      </c>
      <c r="E108" s="16" t="inlineStr">
        <is>
          <t>PUBLIC</t>
        </is>
      </c>
      <c r="F108" s="16" t="inlineStr">
        <is>
          <t>pmwr.crystal.pyramid_ratio_audit</t>
        </is>
      </c>
    </row>
    <row r="109">
      <c r="A109" s="16" t="inlineStr">
        <is>
          <t>pmwr_crystal</t>
        </is>
      </c>
      <c r="B109" s="16" t="inlineStr">
        <is>
          <t>ANGLE-emitter_60</t>
        </is>
      </c>
      <c r="C109" s="16" t="inlineStr">
        <is>
          <t>geometry_candidate</t>
        </is>
      </c>
      <c r="D109" s="16" t="inlineStr">
        <is>
          <t>GEOMETRY_IDENTITY</t>
        </is>
      </c>
      <c r="E109" s="16" t="inlineStr">
        <is>
          <t>PUBLIC</t>
        </is>
      </c>
      <c r="F109" s="16" t="inlineStr">
        <is>
          <t>pmwr.crystal.pyramid_ratio_audit</t>
        </is>
      </c>
    </row>
    <row r="110">
      <c r="A110" s="6" t="inlineStr">
        <is>
          <t>pmwr_phryll</t>
        </is>
      </c>
      <c r="B110" s="6" t="inlineStr">
        <is>
          <t>PHRYLL-OPERATIONALIZATION</t>
        </is>
      </c>
      <c r="C110" s="6" t="inlineStr">
        <is>
          <t>latent_definition</t>
        </is>
      </c>
      <c r="D110" s="6" t="inlineStr">
        <is>
          <t>SOURCE_CLAIM</t>
        </is>
      </c>
      <c r="E110" s="6" t="inlineStr">
        <is>
          <t>PUBLIC</t>
        </is>
      </c>
      <c r="F110" s="6" t="inlineStr">
        <is>
          <t>pack core/06; pmwr.crystal.PROMOTION_GATES</t>
        </is>
      </c>
    </row>
    <row r="111">
      <c r="A111" s="7" t="inlineStr">
        <is>
          <t>pmwr_phryll</t>
        </is>
      </c>
      <c r="B111" s="7" t="inlineStr">
        <is>
          <t>FIREWALL-PERFECT_ABSOLUTE_PHASE</t>
        </is>
      </c>
      <c r="C111" s="7" t="inlineStr">
        <is>
          <t>firewall</t>
        </is>
      </c>
      <c r="D111" s="7" t="inlineStr">
        <is>
          <t>DERIVED_ARITHMETIC</t>
        </is>
      </c>
      <c r="E111" s="7" t="inlineStr">
        <is>
          <t>PUBLIC</t>
        </is>
      </c>
      <c r="F111" s="7" t="inlineStr">
        <is>
          <t>pmwr.FIREWALLS</t>
        </is>
      </c>
    </row>
    <row r="112">
      <c r="A112" s="7" t="inlineStr">
        <is>
          <t>pmwr_phryll</t>
        </is>
      </c>
      <c r="B112" s="7" t="inlineStr">
        <is>
          <t>FIREWALL-ENVIRONMENTAL_IMMUNITY</t>
        </is>
      </c>
      <c r="C112" s="7" t="inlineStr">
        <is>
          <t>firewall</t>
        </is>
      </c>
      <c r="D112" s="7" t="inlineStr">
        <is>
          <t>DERIVED_ARITHMETIC</t>
        </is>
      </c>
      <c r="E112" s="7" t="inlineStr">
        <is>
          <t>PUBLIC</t>
        </is>
      </c>
      <c r="F112" s="7" t="inlineStr">
        <is>
          <t>pmwr.FIREWALLS</t>
        </is>
      </c>
    </row>
    <row r="113">
      <c r="A113" s="7" t="inlineStr">
        <is>
          <t>pmwr_phryll</t>
        </is>
      </c>
      <c r="B113" s="7" t="inlineStr">
        <is>
          <t>FIREWALL-ONE_RESIDUAL_ONE_PATH</t>
        </is>
      </c>
      <c r="C113" s="7" t="inlineStr">
        <is>
          <t>firewall</t>
        </is>
      </c>
      <c r="D113" s="7" t="inlineStr">
        <is>
          <t>DERIVED_ARITHMETIC</t>
        </is>
      </c>
      <c r="E113" s="7" t="inlineStr">
        <is>
          <t>PUBLIC</t>
        </is>
      </c>
      <c r="F113" s="7" t="inlineStr">
        <is>
          <t>pmwr.FIREWALLS</t>
        </is>
      </c>
    </row>
    <row r="114">
      <c r="A114" s="7" t="inlineStr">
        <is>
          <t>pmwr_phryll</t>
        </is>
      </c>
      <c r="B114" s="7" t="inlineStr">
        <is>
          <t>FIREWALL-CLOSURE_REMOVES_AMBIGUITY</t>
        </is>
      </c>
      <c r="C114" s="7" t="inlineStr">
        <is>
          <t>firewall</t>
        </is>
      </c>
      <c r="D114" s="7" t="inlineStr">
        <is>
          <t>DERIVED_ARITHMETIC</t>
        </is>
      </c>
      <c r="E114" s="7" t="inlineStr">
        <is>
          <t>PUBLIC</t>
        </is>
      </c>
      <c r="F114" s="7" t="inlineStr">
        <is>
          <t>pmwr.FIREWALLS</t>
        </is>
      </c>
    </row>
    <row r="115">
      <c r="A115" s="7" t="inlineStr">
        <is>
          <t>pmwr_phryll</t>
        </is>
      </c>
      <c r="B115" s="7" t="inlineStr">
        <is>
          <t>FIREWALL-4096_PRIVILEGED</t>
        </is>
      </c>
      <c r="C115" s="7" t="inlineStr">
        <is>
          <t>firewall</t>
        </is>
      </c>
      <c r="D115" s="7" t="inlineStr">
        <is>
          <t>DERIVED_ARITHMETIC</t>
        </is>
      </c>
      <c r="E115" s="7" t="inlineStr">
        <is>
          <t>PUBLIC</t>
        </is>
      </c>
      <c r="F115" s="7" t="inlineStr">
        <is>
          <t>pmwr.FIREWALLS</t>
        </is>
      </c>
    </row>
    <row r="116">
      <c r="A116" s="7" t="inlineStr">
        <is>
          <t>pmwr_phryll</t>
        </is>
      </c>
      <c r="B116" s="7" t="inlineStr">
        <is>
          <t>FIREWALL-PYRAMID_PROVES_MECHANISM</t>
        </is>
      </c>
      <c r="C116" s="7" t="inlineStr">
        <is>
          <t>firewall</t>
        </is>
      </c>
      <c r="D116" s="7" t="inlineStr">
        <is>
          <t>DERIVED_ARITHMETIC</t>
        </is>
      </c>
      <c r="E116" s="7" t="inlineStr">
        <is>
          <t>PUBLIC</t>
        </is>
      </c>
      <c r="F116" s="7" t="inlineStr">
        <is>
          <t>pmwr.FIREWALLS</t>
        </is>
      </c>
    </row>
    <row r="117">
      <c r="A117" s="7" t="inlineStr">
        <is>
          <t>pmwr_phryll</t>
        </is>
      </c>
      <c r="B117" s="7" t="inlineStr">
        <is>
          <t>FIREWALL-ANGLE_PROVES_DIRECTIONALITY</t>
        </is>
      </c>
      <c r="C117" s="7" t="inlineStr">
        <is>
          <t>firewall</t>
        </is>
      </c>
      <c r="D117" s="7" t="inlineStr">
        <is>
          <t>DERIVED_ARITHMETIC</t>
        </is>
      </c>
      <c r="E117" s="7" t="inlineStr">
        <is>
          <t>PUBLIC</t>
        </is>
      </c>
      <c r="F117" s="7" t="inlineStr">
        <is>
          <t>pmwr.FIREWALLS</t>
        </is>
      </c>
    </row>
    <row r="118">
      <c r="A118" s="7" t="inlineStr">
        <is>
          <t>pmwr_phryll</t>
        </is>
      </c>
      <c r="B118" s="7" t="inlineStr">
        <is>
          <t>FIREWALL-SENSOR_CHANGE_IS_PHRYLL</t>
        </is>
      </c>
      <c r="C118" s="7" t="inlineStr">
        <is>
          <t>firewall</t>
        </is>
      </c>
      <c r="D118" s="7" t="inlineStr">
        <is>
          <t>DERIVED_ARITHMETIC</t>
        </is>
      </c>
      <c r="E118" s="7" t="inlineStr">
        <is>
          <t>PUBLIC</t>
        </is>
      </c>
      <c r="F118" s="7" t="inlineStr">
        <is>
          <t>pmwr.FIREWALLS</t>
        </is>
      </c>
    </row>
    <row r="119">
      <c r="A119" s="7" t="inlineStr">
        <is>
          <t>pmwr_phryll</t>
        </is>
      </c>
      <c r="B119" s="7" t="inlineStr">
        <is>
          <t>FIREWALL-DEVICE_MIRACLES</t>
        </is>
      </c>
      <c r="C119" s="7" t="inlineStr">
        <is>
          <t>firewall</t>
        </is>
      </c>
      <c r="D119" s="7" t="inlineStr">
        <is>
          <t>DERIVED_ARITHMETIC</t>
        </is>
      </c>
      <c r="E119" s="7" t="inlineStr">
        <is>
          <t>PUBLIC</t>
        </is>
      </c>
      <c r="F119" s="7" t="inlineStr">
        <is>
          <t>pmwr.FIREWALLS</t>
        </is>
      </c>
    </row>
    <row r="120">
      <c r="A120" s="7" t="inlineStr">
        <is>
          <t>pmwr_phryll</t>
        </is>
      </c>
      <c r="B120" s="7" t="inlineStr">
        <is>
          <t>FIREWALL-REORDER_IS_REVERSAL</t>
        </is>
      </c>
      <c r="C120" s="7" t="inlineStr">
        <is>
          <t>firewall</t>
        </is>
      </c>
      <c r="D120" s="7" t="inlineStr">
        <is>
          <t>DERIVED_ARITHMETIC</t>
        </is>
      </c>
      <c r="E120" s="7" t="inlineStr">
        <is>
          <t>PUBLIC</t>
        </is>
      </c>
      <c r="F120" s="7" t="inlineStr">
        <is>
          <t>pmwr.FIREWALLS</t>
        </is>
      </c>
    </row>
    <row r="121">
      <c r="A121" s="8" t="inlineStr">
        <is>
          <t>pmwr_phryll</t>
        </is>
      </c>
      <c r="B121" s="8" t="inlineStr">
        <is>
          <t>PMWR-BENCH-DIRECTIONAL</t>
        </is>
      </c>
      <c r="C121" s="8" t="inlineStr">
        <is>
          <t>bench_preregistration</t>
        </is>
      </c>
      <c r="D121" s="8" t="inlineStr">
        <is>
          <t>ANALYTIC_MODEL</t>
        </is>
      </c>
      <c r="E121" s="8" t="inlineStr">
        <is>
          <t>PUBLIC</t>
        </is>
      </c>
      <c r="F121" s="8" t="inlineStr">
        <is>
          <t>pmwr.benches</t>
        </is>
      </c>
    </row>
    <row r="122">
      <c r="A122" s="8" t="inlineStr">
        <is>
          <t>pmwr_phryll</t>
        </is>
      </c>
      <c r="B122" s="8" t="inlineStr">
        <is>
          <t>PMWR-BENCH-SELFOSC</t>
        </is>
      </c>
      <c r="C122" s="8" t="inlineStr">
        <is>
          <t>bench_preregistration</t>
        </is>
      </c>
      <c r="D122" s="8" t="inlineStr">
        <is>
          <t>ANALYTIC_MODEL</t>
        </is>
      </c>
      <c r="E122" s="8" t="inlineStr">
        <is>
          <t>PUBLIC</t>
        </is>
      </c>
      <c r="F122" s="8" t="inlineStr">
        <is>
          <t>pmwr.benches</t>
        </is>
      </c>
    </row>
    <row r="123">
      <c r="A123" s="8" t="inlineStr">
        <is>
          <t>pmwr_phryll</t>
        </is>
      </c>
      <c r="B123" s="8" t="inlineStr">
        <is>
          <t>PMWR-BENCH-SHAM</t>
        </is>
      </c>
      <c r="C123" s="8" t="inlineStr">
        <is>
          <t>bench_preregistration</t>
        </is>
      </c>
      <c r="D123" s="8" t="inlineStr">
        <is>
          <t>ANALYTIC_MODEL</t>
        </is>
      </c>
      <c r="E123" s="8" t="inlineStr">
        <is>
          <t>PUBLIC</t>
        </is>
      </c>
      <c r="F123" s="8" t="inlineStr">
        <is>
          <t>pmwr.benches</t>
        </is>
      </c>
    </row>
    <row r="124">
      <c r="A124" s="6" t="inlineStr">
        <is>
          <t>source_registry</t>
        </is>
      </c>
      <c r="B124" s="6" t="inlineStr">
        <is>
          <t>SRC-V4X2-01</t>
        </is>
      </c>
      <c r="C124" s="6" t="inlineStr">
        <is>
          <t>source</t>
        </is>
      </c>
      <c r="D124" s="6" t="inlineStr">
        <is>
          <t>SOURCE_CLAIM</t>
        </is>
      </c>
      <c r="E124" s="6" t="inlineStr">
        <is>
          <t>PUBLIC</t>
        </is>
      </c>
      <c r="F124" s="6" t="inlineStr">
        <is>
          <t>local hash 019435a03b3c5e9d</t>
        </is>
      </c>
    </row>
    <row r="125">
      <c r="A125" s="6" t="inlineStr">
        <is>
          <t>source_registry</t>
        </is>
      </c>
      <c r="B125" s="6" t="inlineStr">
        <is>
          <t>SRC-V4X2-02</t>
        </is>
      </c>
      <c r="C125" s="6" t="inlineStr">
        <is>
          <t>source</t>
        </is>
      </c>
      <c r="D125" s="6" t="inlineStr">
        <is>
          <t>SOURCE_CLAIM</t>
        </is>
      </c>
      <c r="E125" s="6" t="inlineStr">
        <is>
          <t>PUBLIC</t>
        </is>
      </c>
      <c r="F125" s="6" t="inlineStr">
        <is>
          <t>local hash 7e1df086615c6bac</t>
        </is>
      </c>
    </row>
    <row r="126">
      <c r="A126" s="6" t="inlineStr">
        <is>
          <t>source_registry</t>
        </is>
      </c>
      <c r="B126" s="6" t="inlineStr">
        <is>
          <t>SRC-V4X2-03</t>
        </is>
      </c>
      <c r="C126" s="6" t="inlineStr">
        <is>
          <t>source</t>
        </is>
      </c>
      <c r="D126" s="6" t="inlineStr">
        <is>
          <t>SOURCE_CLAIM</t>
        </is>
      </c>
      <c r="E126" s="6" t="inlineStr">
        <is>
          <t>PUBLIC</t>
        </is>
      </c>
      <c r="F126" s="6" t="inlineStr">
        <is>
          <t>local hash b8e387558cb0a0f0</t>
        </is>
      </c>
    </row>
    <row r="127">
      <c r="A127" s="6" t="inlineStr">
        <is>
          <t>source_registry</t>
        </is>
      </c>
      <c r="B127" s="6" t="inlineStr">
        <is>
          <t>SRC-V4X2-04</t>
        </is>
      </c>
      <c r="C127" s="6" t="inlineStr">
        <is>
          <t>source</t>
        </is>
      </c>
      <c r="D127" s="6" t="inlineStr">
        <is>
          <t>SOURCE_CLAIM</t>
        </is>
      </c>
      <c r="E127" s="6" t="inlineStr">
        <is>
          <t>PUBLIC</t>
        </is>
      </c>
      <c r="F127" s="6" t="inlineStr">
        <is>
          <t>local hash 473ab08fd766fe38</t>
        </is>
      </c>
    </row>
    <row r="128">
      <c r="A128" s="6" t="inlineStr">
        <is>
          <t>source_registry</t>
        </is>
      </c>
      <c r="B128" s="6" t="inlineStr">
        <is>
          <t>SRC-V4X2-05</t>
        </is>
      </c>
      <c r="C128" s="6" t="inlineStr">
        <is>
          <t>source</t>
        </is>
      </c>
      <c r="D128" s="6" t="inlineStr">
        <is>
          <t>SOURCE_CLAIM</t>
        </is>
      </c>
      <c r="E128" s="6" t="inlineStr">
        <is>
          <t>PUBLIC</t>
        </is>
      </c>
      <c r="F128" s="6" t="inlineStr">
        <is>
          <t>local hash 32f952347682a67e</t>
        </is>
      </c>
    </row>
    <row r="129">
      <c r="A129" s="5" t="inlineStr">
        <is>
          <t>lore_registry</t>
        </is>
      </c>
      <c r="B129" s="5" t="inlineStr">
        <is>
          <t>LORE-POLICY</t>
        </is>
      </c>
      <c r="C129" s="5" t="inlineStr">
        <is>
          <t>lore_policy</t>
        </is>
      </c>
      <c r="D129" s="5" t="inlineStr">
        <is>
          <t>LORE</t>
        </is>
      </c>
      <c r="E129" s="5" t="inlineStr">
        <is>
          <t>PUBLIC_SAFE</t>
        </is>
      </c>
      <c r="F129" s="5" t="inlineStr">
        <is>
          <t>docs/v4/resonator/LORE_AND_INTUITION_POLICY.md</t>
        </is>
      </c>
    </row>
    <row r="130">
      <c r="A130" s="7" t="inlineStr">
        <is>
          <t>installer_metadata</t>
        </is>
      </c>
      <c r="B130" s="7" t="inlineStr">
        <is>
          <t>REL-v4.5.0</t>
        </is>
      </c>
      <c r="C130" s="7" t="inlineStr">
        <is>
          <t>release_metadata</t>
        </is>
      </c>
      <c r="D130" s="7" t="inlineStr">
        <is>
          <t>DERIVED_ARITHMETIC</t>
        </is>
      </c>
      <c r="E130" s="7" t="inlineStr">
        <is>
          <t>PUBLIC</t>
        </is>
      </c>
      <c r="F130" s="7" t="inlineStr">
        <is>
          <t>pyproject.toml + build</t>
        </is>
      </c>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K3"/>
  <sheetViews>
    <sheetView workbookViewId="0">
      <pane ySplit="1" topLeftCell="A2" activePane="bottomLeft" state="frozen"/>
      <selection pane="bottomLeft" activeCell="A1" sqref="A1"/>
    </sheetView>
  </sheetViews>
  <sheetFormatPr baseColWidth="8" defaultRowHeight="15"/>
  <cols>
    <col width="19" customWidth="1" min="1" max="1"/>
    <col width="12" customWidth="1" min="2" max="2"/>
    <col width="22" customWidth="1" min="3" max="3"/>
    <col width="15" customWidth="1" min="4" max="4"/>
    <col width="46" customWidth="1" min="5" max="5"/>
    <col width="26" customWidth="1" min="6" max="6"/>
    <col width="26" customWidth="1" min="7" max="7"/>
    <col width="15" customWidth="1" min="8" max="8"/>
    <col width="14" customWidth="1" min="9" max="9"/>
    <col width="41" customWidth="1" min="10" max="10"/>
    <col width="60" customWidth="1" min="11" max="11"/>
  </cols>
  <sheetData>
    <row r="1">
      <c r="A1" s="24" t="inlineStr">
        <is>
          <t>id</t>
        </is>
      </c>
      <c r="B1" s="24" t="inlineStr">
        <is>
          <t>kind</t>
        </is>
      </c>
      <c r="C1" s="24" t="inlineStr">
        <is>
          <t>evidence_class</t>
        </is>
      </c>
      <c r="D1" s="24" t="inlineStr">
        <is>
          <t>privacy_class</t>
        </is>
      </c>
      <c r="E1" s="24" t="inlineStr">
        <is>
          <t>provenance</t>
        </is>
      </c>
      <c r="F1" s="24" t="inlineStr">
        <is>
          <t>candidate_mm</t>
        </is>
      </c>
      <c r="G1" s="24" t="inlineStr">
        <is>
          <t>station_mm</t>
        </is>
      </c>
      <c r="H1" s="24" t="inlineStr">
        <is>
          <t>separation_mm</t>
        </is>
      </c>
      <c r="I1" s="24" t="inlineStr">
        <is>
          <t>halfwidth_mm</t>
        </is>
      </c>
      <c r="J1" s="24" t="inlineStr">
        <is>
          <t>status</t>
        </is>
      </c>
      <c r="K1" s="24" t="inlineStr">
        <is>
          <t>note</t>
        </is>
      </c>
    </row>
    <row r="2">
      <c r="A2" s="9" t="inlineStr">
        <is>
          <t>EYE-V41-CANONICAL</t>
        </is>
      </c>
      <c r="B2" s="9" t="inlineStr">
        <is>
          <t>eye_record</t>
        </is>
      </c>
      <c r="C2" s="9" t="inlineStr">
        <is>
          <t>NUMERICAL_SIMULATION</t>
        </is>
      </c>
      <c r="D2" s="9" t="inlineStr">
        <is>
          <t>PUBLIC</t>
        </is>
      </c>
      <c r="E2" s="9" t="inlineStr">
        <is>
          <t>rscs2_core.eye_ladder_analysis.CANONICAL_V41</t>
        </is>
      </c>
      <c r="F2" s="9" t="inlineStr">
        <is>
          <t>(-0.295, -0.205, 102.24)</t>
        </is>
      </c>
      <c r="G2" s="9" t="inlineStr">
        <is>
          <t>(-0.447, 0.774, 106.018)</t>
        </is>
      </c>
      <c r="H2" s="9" t="n">
        <v>3.906</v>
      </c>
      <c r="I2" s="9" t="n">
        <v>3.08</v>
      </c>
      <c r="J2" s="9" t="inlineStr">
        <is>
          <t>resolution-limited; preserved unchanged</t>
        </is>
      </c>
      <c r="K2" s="9" t="inlineStr">
        <is>
          <t>computational, idealized model; the physical Eye hypothesis is UNTESTED</t>
        </is>
      </c>
    </row>
    <row r="3">
      <c r="A3" s="9" t="inlineStr">
        <is>
          <t>EYE-V421-V5</t>
        </is>
      </c>
      <c r="B3" s="9" t="inlineStr">
        <is>
          <t>eye_record</t>
        </is>
      </c>
      <c r="C3" s="9" t="inlineStr">
        <is>
          <t>NUMERICAL_SIMULATION</t>
        </is>
      </c>
      <c r="D3" s="9" t="inlineStr">
        <is>
          <t>PUBLIC</t>
        </is>
      </c>
      <c r="E3" s="9" t="inlineStr">
        <is>
          <t>rscs2_core.eye_ladder_analysis.V421_LADDER</t>
        </is>
      </c>
      <c r="F3" s="9" t="inlineStr">
        <is>
          <t>(-0.048, -0.02, 99.783)</t>
        </is>
      </c>
      <c r="G3" s="9" t="n"/>
      <c r="H3" s="9" t="n">
        <v>6.2976</v>
      </c>
      <c r="I3" s="9" t="n">
        <v>1.8033</v>
      </c>
      <c r="J3" s="9" t="inlineStr">
        <is>
          <t>NEAR_CONVENTIONAL_NODE_BUT_DISTINCT</t>
        </is>
      </c>
      <c r="K3" s="9" t="inlineStr">
        <is>
          <t>finer ladder; one apex feature, two estimates (see EYE_CLAIM_CARD v4)</t>
        </is>
      </c>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L2"/>
  <sheetViews>
    <sheetView workbookViewId="0">
      <pane ySplit="1" topLeftCell="A2" activePane="bottomLeft" state="frozen"/>
      <selection pane="bottomLeft" activeCell="A1" sqref="A1"/>
    </sheetView>
  </sheetViews>
  <sheetFormatPr baseColWidth="8" defaultRowHeight="15"/>
  <cols>
    <col width="23" customWidth="1" min="1" max="1"/>
    <col width="23" customWidth="1" min="2" max="2"/>
    <col width="16" customWidth="1" min="3" max="3"/>
    <col width="15" customWidth="1" min="4" max="4"/>
    <col width="50" customWidth="1" min="5" max="5"/>
    <col width="14" customWidth="1" min="6" max="6"/>
    <col width="11" customWidth="1" min="7" max="7"/>
    <col width="17" customWidth="1" min="8" max="8"/>
    <col width="10" customWidth="1" min="9" max="9"/>
    <col width="12" customWidth="1" min="10" max="10"/>
    <col width="11" customWidth="1" min="11" max="11"/>
    <col width="60" customWidth="1" min="12" max="12"/>
  </cols>
  <sheetData>
    <row r="1">
      <c r="A1" s="24" t="inlineStr">
        <is>
          <t>id</t>
        </is>
      </c>
      <c r="B1" s="24" t="inlineStr">
        <is>
          <t>kind</t>
        </is>
      </c>
      <c r="C1" s="24" t="inlineStr">
        <is>
          <t>evidence_class</t>
        </is>
      </c>
      <c r="D1" s="24" t="inlineStr">
        <is>
          <t>privacy_class</t>
        </is>
      </c>
      <c r="E1" s="24" t="inlineStr">
        <is>
          <t>provenance</t>
        </is>
      </c>
      <c r="F1" s="24" t="inlineStr">
        <is>
          <t>predicted_hz</t>
        </is>
      </c>
      <c r="G1" s="24" t="inlineStr">
        <is>
          <t>target_hz</t>
        </is>
      </c>
      <c r="H1" s="24" t="inlineStr">
        <is>
          <t>final_fitted_hz</t>
        </is>
      </c>
      <c r="I1" s="24" t="inlineStr">
        <is>
          <t>accepted</t>
        </is>
      </c>
      <c r="J1" s="24" t="inlineStr">
        <is>
          <t>iterations</t>
        </is>
      </c>
      <c r="K1" s="24" t="inlineStr">
        <is>
          <t>synthetic</t>
        </is>
      </c>
      <c r="L1" s="24" t="inlineStr">
        <is>
          <t>banner</t>
        </is>
      </c>
    </row>
    <row r="2">
      <c r="A2" s="10" t="inlineStr">
        <is>
          <t>SPECIMEN-40ba9443285a</t>
        </is>
      </c>
      <c r="B2" s="10" t="inlineStr">
        <is>
          <t>resonator_certificate</t>
        </is>
      </c>
      <c r="C2" s="10" t="inlineStr">
        <is>
          <t>SYNTHETIC_RUN</t>
        </is>
      </c>
      <c r="D2" s="10" t="inlineStr">
        <is>
          <t>PUBLIC</t>
        </is>
      </c>
      <c r="E2" s="10" t="inlineStr">
        <is>
          <t>resonator_platform.campaign.run_campaign(seed=7)</t>
        </is>
      </c>
      <c r="F2" s="10" t="n">
        <v>1030.149</v>
      </c>
      <c r="G2" s="10" t="n">
        <v>1036.149</v>
      </c>
      <c r="H2" s="10" t="n">
        <v>1035.04</v>
      </c>
      <c r="I2" s="10" t="b">
        <v>1</v>
      </c>
      <c r="J2" s="10" t="n">
        <v>2</v>
      </c>
      <c r="K2" s="10" t="b">
        <v>1</v>
      </c>
      <c r="L2" s="10" t="inlineStr">
        <is>
          <t>SYNTHETIC CERTIFICATE — no physical resonator exists; produc</t>
        </is>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6" customWidth="1" min="1" max="1"/>
    <col width="15" customWidth="1" min="2" max="2"/>
    <col width="16" customWidth="1" min="3" max="3"/>
    <col width="15" customWidth="1" min="4" max="4"/>
    <col width="41" customWidth="1" min="5" max="5"/>
    <col width="17" customWidth="1" min="6" max="6"/>
    <col width="10" customWidth="1" min="7" max="7"/>
    <col width="23" customWidth="1" min="8" max="8"/>
    <col width="60" customWidth="1" min="9" max="9"/>
  </cols>
  <sheetData>
    <row r="1">
      <c r="A1" s="24" t="inlineStr">
        <is>
          <t>id</t>
        </is>
      </c>
      <c r="B1" s="24" t="inlineStr">
        <is>
          <t>kind</t>
        </is>
      </c>
      <c r="C1" s="24" t="inlineStr">
        <is>
          <t>evidence_class</t>
        </is>
      </c>
      <c r="D1" s="24" t="inlineStr">
        <is>
          <t>privacy_class</t>
        </is>
      </c>
      <c r="E1" s="24" t="inlineStr">
        <is>
          <t>provenance</t>
        </is>
      </c>
      <c r="F1" s="24" t="inlineStr">
        <is>
          <t>board</t>
        </is>
      </c>
      <c r="G1" s="24" t="inlineStr">
        <is>
          <t>verified</t>
        </is>
      </c>
      <c r="H1" s="24" t="inlineStr">
        <is>
          <t>candidate_output_pins</t>
        </is>
      </c>
      <c r="I1" s="24" t="inlineStr">
        <is>
          <t>note</t>
        </is>
      </c>
    </row>
    <row r="2">
      <c r="A2" s="6" t="inlineStr">
        <is>
          <t>HW-7248373726</t>
        </is>
      </c>
      <c r="B2" s="6" t="inlineStr">
        <is>
          <t>board_profile</t>
        </is>
      </c>
      <c r="C2" s="6" t="inlineStr">
        <is>
          <t>SOURCE_CLAIM</t>
        </is>
      </c>
      <c r="D2" s="6" t="inlineStr">
        <is>
          <t>PUBLIC</t>
        </is>
      </c>
      <c r="E2" s="6" t="inlineStr">
        <is>
          <t>fkey_instrument.boards (community docs)</t>
        </is>
      </c>
      <c r="F2" s="6" t="inlineStr">
        <is>
          <t>ESP32-2432S028R</t>
        </is>
      </c>
      <c r="G2" s="6" t="b">
        <v>0</v>
      </c>
      <c r="H2" s="6" t="inlineStr">
        <is>
          <t>[22, 27]</t>
        </is>
      </c>
      <c r="I2" s="6" t="inlineStr">
        <is>
          <t>candidate profile; verify via A14 self-test before naming an output pin</t>
        </is>
      </c>
    </row>
    <row r="3">
      <c r="A3" s="6" t="inlineStr">
        <is>
          <t>HW-fa5f7a76f7</t>
        </is>
      </c>
      <c r="B3" s="6" t="inlineStr">
        <is>
          <t>board_profile</t>
        </is>
      </c>
      <c r="C3" s="6" t="inlineStr">
        <is>
          <t>SOURCE_CLAIM</t>
        </is>
      </c>
      <c r="D3" s="6" t="inlineStr">
        <is>
          <t>PUBLIC</t>
        </is>
      </c>
      <c r="E3" s="6" t="inlineStr">
        <is>
          <t>fkey_instrument.boards (community docs)</t>
        </is>
      </c>
      <c r="F3" s="6" t="inlineStr">
        <is>
          <t>ESP32-2432S024C</t>
        </is>
      </c>
      <c r="G3" s="6" t="b">
        <v>0</v>
      </c>
      <c r="H3" s="6" t="inlineStr">
        <is>
          <t>[22, 21]</t>
        </is>
      </c>
      <c r="I3" s="6" t="inlineStr">
        <is>
          <t>candidate profile; verify via A14 self-test before naming an output pin</t>
        </is>
      </c>
    </row>
    <row r="4">
      <c r="A4" s="8" t="inlineStr">
        <is>
          <t>BOM-f90a86d0bb</t>
        </is>
      </c>
      <c r="B4" s="8" t="inlineStr">
        <is>
          <t>bom_item</t>
        </is>
      </c>
      <c r="C4" s="8" t="inlineStr">
        <is>
          <t>ANALYTIC_MODEL</t>
        </is>
      </c>
      <c r="D4" s="8" t="inlineStr">
        <is>
          <t>PUBLIC</t>
        </is>
      </c>
      <c r="E4" s="8" t="inlineStr">
        <is>
          <t>docs/v4/fkey/BOM_WIRING_GEN0.md</t>
        </is>
      </c>
      <c r="F4" s="8" t="n"/>
      <c r="G4" s="8" t="n"/>
      <c r="H4" s="8" t="n"/>
      <c r="I4" s="8" t="n"/>
    </row>
    <row r="5">
      <c r="A5" s="8" t="inlineStr">
        <is>
          <t>BOM-9043ce0521</t>
        </is>
      </c>
      <c r="B5" s="8" t="inlineStr">
        <is>
          <t>bom_item</t>
        </is>
      </c>
      <c r="C5" s="8" t="inlineStr">
        <is>
          <t>ANALYTIC_MODEL</t>
        </is>
      </c>
      <c r="D5" s="8" t="inlineStr">
        <is>
          <t>PUBLIC</t>
        </is>
      </c>
      <c r="E5" s="8" t="inlineStr">
        <is>
          <t>docs/v4/fkey/BOM_WIRING_GEN0.md</t>
        </is>
      </c>
      <c r="F5" s="8" t="n"/>
      <c r="G5" s="8" t="n"/>
      <c r="H5" s="8" t="n"/>
      <c r="I5" s="8" t="n"/>
    </row>
    <row r="6">
      <c r="A6" s="8" t="inlineStr">
        <is>
          <t>BOM-8cac66963e</t>
        </is>
      </c>
      <c r="B6" s="8" t="inlineStr">
        <is>
          <t>bom_item</t>
        </is>
      </c>
      <c r="C6" s="8" t="inlineStr">
        <is>
          <t>ANALYTIC_MODEL</t>
        </is>
      </c>
      <c r="D6" s="8" t="inlineStr">
        <is>
          <t>PUBLIC</t>
        </is>
      </c>
      <c r="E6" s="8" t="inlineStr">
        <is>
          <t>docs/v4/fkey/BOM_WIRING_GEN0.md</t>
        </is>
      </c>
      <c r="F6" s="8" t="n"/>
      <c r="G6" s="8" t="n"/>
      <c r="H6" s="8" t="n"/>
      <c r="I6" s="8" t="n"/>
    </row>
    <row r="7">
      <c r="A7" s="8" t="inlineStr">
        <is>
          <t>BOM-80b329afeb</t>
        </is>
      </c>
      <c r="B7" s="8" t="inlineStr">
        <is>
          <t>bom_item</t>
        </is>
      </c>
      <c r="C7" s="8" t="inlineStr">
        <is>
          <t>ANALYTIC_MODEL</t>
        </is>
      </c>
      <c r="D7" s="8" t="inlineStr">
        <is>
          <t>PUBLIC</t>
        </is>
      </c>
      <c r="E7" s="8" t="inlineStr">
        <is>
          <t>docs/v4/fkey/BOM_WIRING_GEN0.md</t>
        </is>
      </c>
      <c r="F7" s="8" t="n"/>
      <c r="G7" s="8" t="n"/>
      <c r="H7" s="8" t="n"/>
      <c r="I7" s="8" t="n"/>
    </row>
    <row r="8">
      <c r="A8" s="8" t="inlineStr">
        <is>
          <t>BOM-3d516ad5e5</t>
        </is>
      </c>
      <c r="B8" s="8" t="inlineStr">
        <is>
          <t>bom_item</t>
        </is>
      </c>
      <c r="C8" s="8" t="inlineStr">
        <is>
          <t>ANALYTIC_MODEL</t>
        </is>
      </c>
      <c r="D8" s="8" t="inlineStr">
        <is>
          <t>PUBLIC</t>
        </is>
      </c>
      <c r="E8" s="8" t="inlineStr">
        <is>
          <t>docs/v4/fkey/BOM_WIRING_GEN0.md</t>
        </is>
      </c>
      <c r="F8" s="8" t="n"/>
      <c r="G8" s="8" t="n"/>
      <c r="H8" s="8" t="n"/>
      <c r="I8" s="8" t="n"/>
    </row>
    <row r="9">
      <c r="A9" s="8" t="inlineStr">
        <is>
          <t>BOM-6b5661d323</t>
        </is>
      </c>
      <c r="B9" s="8" t="inlineStr">
        <is>
          <t>bom_item</t>
        </is>
      </c>
      <c r="C9" s="8" t="inlineStr">
        <is>
          <t>ANALYTIC_MODEL</t>
        </is>
      </c>
      <c r="D9" s="8" t="inlineStr">
        <is>
          <t>PUBLIC</t>
        </is>
      </c>
      <c r="E9" s="8" t="inlineStr">
        <is>
          <t>docs/v4/fkey/BOM_WIRING_GEN0.md</t>
        </is>
      </c>
      <c r="F9" s="8" t="n"/>
      <c r="G9" s="8" t="n"/>
      <c r="H9" s="8" t="n"/>
      <c r="I9" s="8" t="n"/>
    </row>
  </sheetData>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H9"/>
  <sheetViews>
    <sheetView workbookViewId="0">
      <pane ySplit="1" topLeftCell="A2" activePane="bottomLeft" state="frozen"/>
      <selection pane="bottomLeft" activeCell="A1" sqref="A1"/>
    </sheetView>
  </sheetViews>
  <sheetFormatPr baseColWidth="8" defaultRowHeight="15"/>
  <cols>
    <col width="16" customWidth="1" min="1" max="1"/>
    <col width="12" customWidth="1" min="2" max="2"/>
    <col width="16" customWidth="1" min="3" max="3"/>
    <col width="15" customWidth="1" min="4" max="4"/>
    <col width="37" customWidth="1" min="5" max="5"/>
    <col width="10" customWidth="1" min="6" max="6"/>
    <col width="44" customWidth="1" min="7" max="7"/>
    <col width="34" customWidth="1" min="8" max="8"/>
  </cols>
  <sheetData>
    <row r="1">
      <c r="A1" s="24" t="inlineStr">
        <is>
          <t>id</t>
        </is>
      </c>
      <c r="B1" s="24" t="inlineStr">
        <is>
          <t>kind</t>
        </is>
      </c>
      <c r="C1" s="24" t="inlineStr">
        <is>
          <t>evidence_class</t>
        </is>
      </c>
      <c r="D1" s="24" t="inlineStr">
        <is>
          <t>privacy_class</t>
        </is>
      </c>
      <c r="E1" s="24" t="inlineStr">
        <is>
          <t>provenance</t>
        </is>
      </c>
      <c r="F1" s="24" t="inlineStr">
        <is>
          <t>order</t>
        </is>
      </c>
      <c r="G1" s="24" t="inlineStr">
        <is>
          <t>campaign</t>
        </is>
      </c>
      <c r="H1" s="24" t="inlineStr">
        <is>
          <t>status</t>
        </is>
      </c>
    </row>
    <row r="2">
      <c r="A2" s="8" t="inlineStr">
        <is>
          <t>EXP-cbf6cf30a5</t>
        </is>
      </c>
      <c r="B2" s="8" t="inlineStr">
        <is>
          <t>experiment</t>
        </is>
      </c>
      <c r="C2" s="8" t="inlineStr">
        <is>
          <t>ANALYTIC_MODEL</t>
        </is>
      </c>
      <c r="D2" s="8" t="inlineStr">
        <is>
          <t>PUBLIC</t>
        </is>
      </c>
      <c r="E2" s="8" t="inlineStr">
        <is>
          <t>fkey_instrument.optimizer.CAMPAIGNS</t>
        </is>
      </c>
      <c r="F2" s="8" t="n">
        <v>1</v>
      </c>
      <c r="G2" s="8" t="inlineStr">
        <is>
          <t>C1 instrument characterization</t>
        </is>
      </c>
      <c r="H2" s="8" t="inlineStr">
        <is>
          <t>PROTOCOL_READY_HARDWARE_REQUIRED</t>
        </is>
      </c>
    </row>
    <row r="3">
      <c r="A3" s="8" t="inlineStr">
        <is>
          <t>EXP-8057b26115</t>
        </is>
      </c>
      <c r="B3" s="8" t="inlineStr">
        <is>
          <t>experiment</t>
        </is>
      </c>
      <c r="C3" s="8" t="inlineStr">
        <is>
          <t>ANALYTIC_MODEL</t>
        </is>
      </c>
      <c r="D3" s="8" t="inlineStr">
        <is>
          <t>PUBLIC</t>
        </is>
      </c>
      <c r="E3" s="8" t="inlineStr">
        <is>
          <t>fkey_instrument.optimizer.CAMPAIGNS</t>
        </is>
      </c>
      <c r="F3" s="8" t="n">
        <v>2</v>
      </c>
      <c r="G3" s="8" t="inlineStr">
        <is>
          <t>C2 actuator and fixture characterization</t>
        </is>
      </c>
      <c r="H3" s="8" t="inlineStr">
        <is>
          <t>PROTOCOL_READY_HARDWARE_REQUIRED</t>
        </is>
      </c>
    </row>
    <row r="4">
      <c r="A4" s="8" t="inlineStr">
        <is>
          <t>EXP-605171148d</t>
        </is>
      </c>
      <c r="B4" s="8" t="inlineStr">
        <is>
          <t>experiment</t>
        </is>
      </c>
      <c r="C4" s="8" t="inlineStr">
        <is>
          <t>ANALYTIC_MODEL</t>
        </is>
      </c>
      <c r="D4" s="8" t="inlineStr">
        <is>
          <t>PUBLIC</t>
        </is>
      </c>
      <c r="E4" s="8" t="inlineStr">
        <is>
          <t>fkey_instrument.optimizer.CAMPAIGNS</t>
        </is>
      </c>
      <c r="F4" s="8" t="n">
        <v>3</v>
      </c>
      <c r="G4" s="8" t="inlineStr">
        <is>
          <t>C3 coarse resonance sweep</t>
        </is>
      </c>
      <c r="H4" s="8" t="inlineStr">
        <is>
          <t>PROTOCOL_READY_HARDWARE_REQUIRED</t>
        </is>
      </c>
    </row>
    <row r="5">
      <c r="A5" s="8" t="inlineStr">
        <is>
          <t>EXP-37d7772d76</t>
        </is>
      </c>
      <c r="B5" s="8" t="inlineStr">
        <is>
          <t>experiment</t>
        </is>
      </c>
      <c r="C5" s="8" t="inlineStr">
        <is>
          <t>ANALYTIC_MODEL</t>
        </is>
      </c>
      <c r="D5" s="8" t="inlineStr">
        <is>
          <t>PUBLIC</t>
        </is>
      </c>
      <c r="E5" s="8" t="inlineStr">
        <is>
          <t>fkey_instrument.optimizer.CAMPAIGNS</t>
        </is>
      </c>
      <c r="F5" s="8" t="n">
        <v>4</v>
      </c>
      <c r="G5" s="8" t="inlineStr">
        <is>
          <t>C4 fine sweep and Q estimate</t>
        </is>
      </c>
      <c r="H5" s="8" t="inlineStr">
        <is>
          <t>PROTOCOL_READY_HARDWARE_REQUIRED</t>
        </is>
      </c>
    </row>
    <row r="6">
      <c r="A6" s="8" t="inlineStr">
        <is>
          <t>EXP-81f4a97823</t>
        </is>
      </c>
      <c r="B6" s="8" t="inlineStr">
        <is>
          <t>experiment</t>
        </is>
      </c>
      <c r="C6" s="8" t="inlineStr">
        <is>
          <t>ANALYTIC_MODEL</t>
        </is>
      </c>
      <c r="D6" s="8" t="inlineStr">
        <is>
          <t>PUBLIC</t>
        </is>
      </c>
      <c r="E6" s="8" t="inlineStr">
        <is>
          <t>fkey_instrument.optimizer.CAMPAIGNS</t>
        </is>
      </c>
      <c r="F6" s="8" t="n">
        <v>5</v>
      </c>
      <c r="G6" s="8" t="inlineStr">
        <is>
          <t>C5 direct vs 4096-derived target component</t>
        </is>
      </c>
      <c r="H6" s="8" t="inlineStr">
        <is>
          <t>PROTOCOL_READY_HARDWARE_REQUIRED</t>
        </is>
      </c>
    </row>
    <row r="7">
      <c r="A7" s="8" t="inlineStr">
        <is>
          <t>EXP-88d1574e7d</t>
        </is>
      </c>
      <c r="B7" s="8" t="inlineStr">
        <is>
          <t>experiment</t>
        </is>
      </c>
      <c r="C7" s="8" t="inlineStr">
        <is>
          <t>ANALYTIC_MODEL</t>
        </is>
      </c>
      <c r="D7" s="8" t="inlineStr">
        <is>
          <t>PUBLIC</t>
        </is>
      </c>
      <c r="E7" s="8" t="inlineStr">
        <is>
          <t>fkey_instrument.optimizer.CAMPAIGNS</t>
        </is>
      </c>
      <c r="F7" s="8" t="n">
        <v>6</v>
      </c>
      <c r="G7" s="8" t="inlineStr">
        <is>
          <t>C6 support-loading study</t>
        </is>
      </c>
      <c r="H7" s="8" t="inlineStr">
        <is>
          <t>PROTOCOL_READY_HARDWARE_REQUIRED</t>
        </is>
      </c>
    </row>
    <row r="8">
      <c r="A8" s="8" t="inlineStr">
        <is>
          <t>EXP-1a93f49103</t>
        </is>
      </c>
      <c r="B8" s="8" t="inlineStr">
        <is>
          <t>experiment</t>
        </is>
      </c>
      <c r="C8" s="8" t="inlineStr">
        <is>
          <t>ANALYTIC_MODEL</t>
        </is>
      </c>
      <c r="D8" s="8" t="inlineStr">
        <is>
          <t>PUBLIC</t>
        </is>
      </c>
      <c r="E8" s="8" t="inlineStr">
        <is>
          <t>fkey_instrument.optimizer.CAMPAIGNS</t>
        </is>
      </c>
      <c r="F8" s="8" t="n">
        <v>7</v>
      </c>
      <c r="G8" s="8" t="inlineStr">
        <is>
          <t>C7 AM envelope comparison</t>
        </is>
      </c>
      <c r="H8" s="8" t="inlineStr">
        <is>
          <t>PROTOCOL_READY_HARDWARE_REQUIRED</t>
        </is>
      </c>
    </row>
    <row r="9">
      <c r="A9" s="8" t="inlineStr">
        <is>
          <t>EXP-fcb6bff5ab</t>
        </is>
      </c>
      <c r="B9" s="8" t="inlineStr">
        <is>
          <t>experiment</t>
        </is>
      </c>
      <c r="C9" s="8" t="inlineStr">
        <is>
          <t>ANALYTIC_MODEL</t>
        </is>
      </c>
      <c r="D9" s="8" t="inlineStr">
        <is>
          <t>PUBLIC</t>
        </is>
      </c>
      <c r="E9" s="8" t="inlineStr">
        <is>
          <t>fkey_instrument.optimizer.CAMPAIGNS</t>
        </is>
      </c>
      <c r="F9" s="8" t="n">
        <v>8</v>
      </c>
      <c r="G9" s="8" t="inlineStr">
        <is>
          <t>C8 high-order mixing null test</t>
        </is>
      </c>
      <c r="H9" s="8" t="inlineStr">
        <is>
          <t>PROTOCOL_READY_HARDWARE_REQUIRED</t>
        </is>
      </c>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21" customWidth="1" min="1" max="1"/>
    <col width="12" customWidth="1" min="2" max="2"/>
    <col width="20" customWidth="1" min="3" max="3"/>
    <col width="15" customWidth="1" min="4" max="4"/>
    <col width="60" customWidth="1" min="5" max="5"/>
    <col width="60" customWidth="1" min="6" max="6"/>
  </cols>
  <sheetData>
    <row r="1">
      <c r="A1" s="24" t="inlineStr">
        <is>
          <t>id</t>
        </is>
      </c>
      <c r="B1" s="24" t="inlineStr">
        <is>
          <t>kind</t>
        </is>
      </c>
      <c r="C1" s="24" t="inlineStr">
        <is>
          <t>evidence_class</t>
        </is>
      </c>
      <c r="D1" s="24" t="inlineStr">
        <is>
          <t>privacy_class</t>
        </is>
      </c>
      <c r="E1" s="24" t="inlineStr">
        <is>
          <t>provenance</t>
        </is>
      </c>
      <c r="F1" s="24" t="inlineStr">
        <is>
          <t>statement</t>
        </is>
      </c>
    </row>
    <row r="2">
      <c r="A2" s="7" t="inlineStr">
        <is>
          <t>FK-CORR-001</t>
        </is>
      </c>
      <c r="B2" s="7" t="inlineStr">
        <is>
          <t>correction</t>
        </is>
      </c>
      <c r="C2" s="7" t="inlineStr">
        <is>
          <t>DERIVED_ARITHMETIC</t>
        </is>
      </c>
      <c r="D2" s="7" t="inlineStr">
        <is>
          <t>PUBLIC</t>
        </is>
      </c>
      <c r="E2" s="7" t="inlineStr">
        <is>
          <t>fkey_instrument.crystal_mode.target_errors</t>
        </is>
      </c>
      <c r="F2" s="7" t="inlineStr">
        <is>
          <t>quarter-wave and half-wave percentage errors are ONE v/L ratio, not two agreements</t>
        </is>
      </c>
    </row>
    <row r="3">
      <c r="A3" s="7" t="inlineStr">
        <is>
          <t>V4X-D-005</t>
        </is>
      </c>
      <c r="B3" s="7" t="inlineStr">
        <is>
          <t>correction</t>
        </is>
      </c>
      <c r="C3" s="7" t="inlineStr">
        <is>
          <t>DERIVED_ARITHMETIC</t>
        </is>
      </c>
      <c r="D3" s="7" t="inlineStr">
        <is>
          <t>PUBLIC</t>
        </is>
      </c>
      <c r="E3" s="7" t="inlineStr">
        <is>
          <t>docs/v4/V4X_DEFECT_REGISTER.md</t>
        </is>
      </c>
      <c r="F3" s="7" t="inlineStr">
        <is>
          <t>cusp metric measured its own sampling density; arc-length weighting fixed it (10.576x, finite)</t>
        </is>
      </c>
    </row>
    <row r="4">
      <c r="A4" s="7" t="inlineStr">
        <is>
          <t>EYE-CARD-v4</t>
        </is>
      </c>
      <c r="B4" s="7" t="inlineStr">
        <is>
          <t>correction</t>
        </is>
      </c>
      <c r="C4" s="7" t="inlineStr">
        <is>
          <t>DERIVED_ARITHMETIC</t>
        </is>
      </c>
      <c r="D4" s="7" t="inlineStr">
        <is>
          <t>PUBLIC</t>
        </is>
      </c>
      <c r="E4" s="7" t="inlineStr">
        <is>
          <t>docs/v4/EYE_CLAIM_CARD.md</t>
        </is>
      </c>
      <c r="F4" s="7" t="inlineStr">
        <is>
          <t>v4.1 and v4.2.1 Eye coordinates are two resolution-dependent estimates of ONE apex feature</t>
        </is>
      </c>
    </row>
    <row r="5">
      <c r="A5" s="7" t="inlineStr">
        <is>
          <t>V4X-D-004</t>
        </is>
      </c>
      <c r="B5" s="7" t="inlineStr">
        <is>
          <t>correction</t>
        </is>
      </c>
      <c r="C5" s="7" t="inlineStr">
        <is>
          <t>DERIVED_ARITHMETIC</t>
        </is>
      </c>
      <c r="D5" s="7" t="inlineStr">
        <is>
          <t>PUBLIC</t>
        </is>
      </c>
      <c r="E5" s="7" t="inlineStr">
        <is>
          <t>docs/v4/V4X_DEFECT_REGISTER.md</t>
        </is>
      </c>
      <c r="F5" s="7" t="inlineStr">
        <is>
          <t>681-vs-682 test-count drift; counts now derive from a real run and are guard-verified</t>
        </is>
      </c>
    </row>
    <row r="6">
      <c r="A6" s="7" t="inlineStr">
        <is>
          <t>CSPC-CORR-001</t>
        </is>
      </c>
      <c r="B6" s="7" t="inlineStr">
        <is>
          <t>correction</t>
        </is>
      </c>
      <c r="C6" s="7" t="inlineStr">
        <is>
          <t>DERIVED_ARITHMETIC</t>
        </is>
      </c>
      <c r="D6" s="7" t="inlineStr">
        <is>
          <t>PUBLIC</t>
        </is>
      </c>
      <c r="E6" s="7" t="inlineStr">
        <is>
          <t>dielectric relaxation spectroscopy; ITU ISM band allocation</t>
        </is>
      </c>
      <c r="F6" s="7" t="inlineStr">
        <is>
          <t>water / 2.45 GHz: 2.45 GHz is NOT a unique fundamental resonance of water. It is an ISM band chosen for regulatory and engineering reasons. Liquid water's dielectric loss is broad and has no sharp resonance there; the Debye relaxation peak of bulk water at room temperature lies near ~20 GHz. Microwave ovens use 2.45 GHz for penetration depth and component economics, not because it is water's resonance.</t>
        </is>
      </c>
    </row>
    <row r="7">
      <c r="A7" s="7" t="inlineStr">
        <is>
          <t>CSPC-CORR-002</t>
        </is>
      </c>
      <c r="B7" s="7" t="inlineStr">
        <is>
          <t>correction</t>
        </is>
      </c>
      <c r="C7" s="7" t="inlineStr">
        <is>
          <t>DERIVED_ARITHMETIC</t>
        </is>
      </c>
      <c r="D7" s="7" t="inlineStr">
        <is>
          <t>PUBLIC</t>
        </is>
      </c>
      <c r="E7" s="7" t="inlineStr">
        <is>
          <t>cspc.exact.DDS_36BIT_LSB; dimensional audit (cspc.units)</t>
        </is>
      </c>
      <c r="F7" s="7" t="inlineStr">
        <is>
          <t>units of the fractal relationship: The recovered quantity retains HERTZ units: it is 2.45e9 Hz / 2^36 = 0.03565219230949878692626953125 Hz, the least-significant-bit step of a 36-bit accumulator clocked at 2.45 GHz. It is a frequency, not a dimensionless ratio.</t>
        </is>
      </c>
    </row>
    <row r="8">
      <c r="A8" s="7" t="inlineStr">
        <is>
          <t>CSPC-CORR-003</t>
        </is>
      </c>
      <c r="B8" s="7" t="inlineStr">
        <is>
          <t>correction</t>
        </is>
      </c>
      <c r="C8" s="7" t="inlineStr">
        <is>
          <t>DERIVED_ARITHMETIC</t>
        </is>
      </c>
      <c r="D8" s="7" t="inlineStr">
        <is>
          <t>PUBLIC</t>
        </is>
      </c>
      <c r="E8" s="7" t="inlineStr">
        <is>
          <t>definition of octave; 8^n = 2^(3n)</t>
        </is>
      </c>
      <c r="F8" s="7" t="inlineStr">
        <is>
          <t>powers-of-eight level naming: An octave is a factor of 2. The 11th powers-of-EIGHT level is 8^11 = 2^33, i.e. thirty-three octaves, not eleven. Calling it an 11th octave understates the span by 22 octaves.</t>
        </is>
      </c>
    </row>
    <row r="9">
      <c r="A9" s="7" t="inlineStr">
        <is>
          <t>CSPC-CORR-004</t>
        </is>
      </c>
      <c r="B9" s="7" t="inlineStr">
        <is>
          <t>correction</t>
        </is>
      </c>
      <c r="C9" s="7" t="inlineStr">
        <is>
          <t>DERIVED_ARITHMETIC</t>
        </is>
      </c>
      <c r="D9" s="7" t="inlineStr">
        <is>
          <t>PUBLIC</t>
        </is>
      </c>
      <c r="E9" s="7" t="inlineStr">
        <is>
          <t>cspc transfer firewalls ARITHMETIC_TO_SPECTRUM, SPECTRUM_TO_COUPLING, TEMPORAL_ORDER_TO_TRAVEL</t>
        </is>
      </c>
      <c r="F9" s="7" t="inlineStr">
        <is>
          <t>arithmetic vs physics: Arithmetic relationships do not establish coupling, energy transfer, or spacetime travel. An exact ratio between two numbers is a fact about the numbers.</t>
        </is>
      </c>
    </row>
    <row r="10">
      <c r="A10" s="7" t="inlineStr">
        <is>
          <t>CSPC-CORR-005</t>
        </is>
      </c>
      <c r="B10" s="7" t="inlineStr">
        <is>
          <t>correction</t>
        </is>
      </c>
      <c r="C10" s="7" t="inlineStr">
        <is>
          <t>DERIVED_ARITHMETIC</t>
        </is>
      </c>
      <c r="D10" s="7" t="inlineStr">
        <is>
          <t>PUBLIC</t>
        </is>
      </c>
      <c r="E10" s="7" t="inlineStr">
        <is>
          <t>transfer firewall SOURCE_PRECISION_TO_MEASUREMENT_PRECISION; cspc.units.Quantity.precision_audit</t>
        </is>
      </c>
      <c r="F10" s="7" t="inlineStr">
        <is>
          <t>precision inheritance: Source precision does not confer measurement precision. The input 2.45 GHz is nominal, carrying three significant figures. The quotient is exact ARITHMETIC to any number of digits, but its empirical significance remains three figures. Quoting sixteen digits as a physical fact is an overclaim.</t>
        </is>
      </c>
    </row>
    <row r="11">
      <c r="A11" s="8" t="inlineStr">
        <is>
          <t>CSPC-CORR-001-QUANT</t>
        </is>
      </c>
      <c r="B11" s="8" t="inlineStr">
        <is>
          <t>correction</t>
        </is>
      </c>
      <c r="C11" s="8" t="inlineStr">
        <is>
          <t>ANALYTIC_MODEL</t>
        </is>
      </c>
      <c r="D11" s="8" t="inlineStr">
        <is>
          <t>PUBLIC</t>
        </is>
      </c>
      <c r="E11" s="8" t="inlineStr">
        <is>
          <t>cspc.experiments.water_2g45_correction</t>
        </is>
      </c>
      <c r="F11" s="8" t="inlineStr">
        <is>
          <t>Debye loss peak 19.2 GHz; 2.45 GHz carries 25% of peak loss and is not a resonance.</t>
        </is>
      </c>
    </row>
  </sheetData>
  <pageMargins left="0.75" right="0.75" top="1" bottom="1" header="0.5" footer="0.5"/>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J6"/>
  <sheetViews>
    <sheetView workbookViewId="0">
      <pane ySplit="1" topLeftCell="A2" activePane="bottomLeft" state="frozen"/>
      <selection pane="bottomLeft" activeCell="A1" sqref="A1"/>
    </sheetView>
  </sheetViews>
  <sheetFormatPr baseColWidth="8" defaultRowHeight="15"/>
  <cols>
    <col width="13" customWidth="1" min="1" max="1"/>
    <col width="10" customWidth="1" min="2" max="2"/>
    <col width="16" customWidth="1" min="3" max="3"/>
    <col width="15" customWidth="1" min="4" max="4"/>
    <col width="29" customWidth="1" min="5" max="5"/>
    <col width="60" customWidth="1" min="6" max="6"/>
    <col width="28" customWidth="1" min="7" max="7"/>
    <col width="51" customWidth="1" min="8" max="8"/>
    <col width="60" customWidth="1" min="9" max="9"/>
    <col width="56" customWidth="1" min="10" max="10"/>
  </cols>
  <sheetData>
    <row r="1">
      <c r="A1" s="24" t="inlineStr">
        <is>
          <t>id</t>
        </is>
      </c>
      <c r="B1" s="24" t="inlineStr">
        <is>
          <t>kind</t>
        </is>
      </c>
      <c r="C1" s="24" t="inlineStr">
        <is>
          <t>evidence_class</t>
        </is>
      </c>
      <c r="D1" s="24" t="inlineStr">
        <is>
          <t>privacy_class</t>
        </is>
      </c>
      <c r="E1" s="24" t="inlineStr">
        <is>
          <t>provenance</t>
        </is>
      </c>
      <c r="F1" s="24" t="inlineStr">
        <is>
          <t>title</t>
        </is>
      </c>
      <c r="G1" s="24" t="inlineStr">
        <is>
          <t>doi</t>
        </is>
      </c>
      <c r="H1" s="24" t="inlineStr">
        <is>
          <t>system</t>
        </is>
      </c>
      <c r="I1" s="24" t="inlineStr">
        <is>
          <t>publication_state</t>
        </is>
      </c>
      <c r="J1" s="24" t="inlineStr">
        <is>
          <t>forbidden_transfers</t>
        </is>
      </c>
    </row>
    <row r="2">
      <c r="A2" s="6" t="inlineStr">
        <is>
          <t>SRC-V4X2-01</t>
        </is>
      </c>
      <c r="B2" s="6" t="inlineStr">
        <is>
          <t>source</t>
        </is>
      </c>
      <c r="C2" s="6" t="inlineStr">
        <is>
          <t>SOURCE_CLAIM</t>
        </is>
      </c>
      <c r="D2" s="6" t="inlineStr">
        <is>
          <t>PUBLIC</t>
        </is>
      </c>
      <c r="E2" s="6" t="inlineStr">
        <is>
          <t>local hash 019435a03b3c5e9d</t>
        </is>
      </c>
      <c r="F2" s="6" t="inlineStr">
        <is>
          <t>Exchange-mediated spin-electric control of single molecules on surfaces</t>
        </is>
      </c>
      <c r="G2" s="6" t="inlineStr">
        <is>
          <t>10.1038/s41567-026-03353-w</t>
        </is>
      </c>
      <c r="H2" s="6" t="inlineStr">
        <is>
          <t>FePc and Fe-FePc on MgO/Ag(001)</t>
        </is>
      </c>
      <c r="I2" s="6" t="inlineStr">
        <is>
          <t>published</t>
        </is>
      </c>
      <c r="J2" s="6" t="inlineStr">
        <is>
          <t>alpha quartz; room temperature; macroscopic resonators</t>
        </is>
      </c>
    </row>
    <row r="3">
      <c r="A3" s="6" t="inlineStr">
        <is>
          <t>SRC-V4X2-02</t>
        </is>
      </c>
      <c r="B3" s="6" t="inlineStr">
        <is>
          <t>source</t>
        </is>
      </c>
      <c r="C3" s="6" t="inlineStr">
        <is>
          <t>SOURCE_CLAIM</t>
        </is>
      </c>
      <c r="D3" s="6" t="inlineStr">
        <is>
          <t>PUBLIC</t>
        </is>
      </c>
      <c r="E3" s="6" t="inlineStr">
        <is>
          <t>local hash 7e1df086615c6bac</t>
        </is>
      </c>
      <c r="F3" s="6" t="inlineStr">
        <is>
          <t>Non-equilibrium correlated electron dynamics in triangular molecular assemblies</t>
        </is>
      </c>
      <c r="G3" s="6" t="inlineStr">
        <is>
          <t>10.1038/s41467-026-75051-3</t>
        </is>
      </c>
      <c r="H3" s="6" t="inlineStr">
        <is>
          <t>TBTAP trimers and hexamers on Pb(111)</t>
        </is>
      </c>
      <c r="I3" s="6" t="inlineStr">
        <is>
          <t>article in press (unedited manuscript in the supplied file)</t>
        </is>
      </c>
      <c r="J3" s="6" t="inlineStr">
        <is>
          <t>charging physics to PCB or quartz</t>
        </is>
      </c>
    </row>
    <row r="4">
      <c r="A4" s="6" t="inlineStr">
        <is>
          <t>SRC-V4X2-03</t>
        </is>
      </c>
      <c r="B4" s="6" t="inlineStr">
        <is>
          <t>source</t>
        </is>
      </c>
      <c r="C4" s="6" t="inlineStr">
        <is>
          <t>SOURCE_CLAIM</t>
        </is>
      </c>
      <c r="D4" s="6" t="inlineStr">
        <is>
          <t>PUBLIC</t>
        </is>
      </c>
      <c r="E4" s="6" t="inlineStr">
        <is>
          <t>local hash b8e387558cb0a0f0</t>
        </is>
      </c>
      <c r="F4" s="6" t="inlineStr">
        <is>
          <t>Realization of strongly correlated 2D honeycomb boron</t>
        </is>
      </c>
      <c r="G4" s="6" t="inlineStr">
        <is>
          <t>10.1126/sciadv.aee3116</t>
        </is>
      </c>
      <c r="H4" s="6" t="inlineStr">
        <is>
          <t>expanded honeycomb boron surface state in LaRh3B2</t>
        </is>
      </c>
      <c r="I4" s="6" t="inlineStr">
        <is>
          <t>published</t>
        </is>
      </c>
      <c r="J4" s="6" t="inlineStr">
        <is>
          <t>electronic nematicity in PCB resonators or quartz</t>
        </is>
      </c>
    </row>
    <row r="5">
      <c r="A5" s="6" t="inlineStr">
        <is>
          <t>SRC-V4X2-04</t>
        </is>
      </c>
      <c r="B5" s="6" t="inlineStr">
        <is>
          <t>source</t>
        </is>
      </c>
      <c r="C5" s="6" t="inlineStr">
        <is>
          <t>SOURCE_CLAIM</t>
        </is>
      </c>
      <c r="D5" s="6" t="inlineStr">
        <is>
          <t>PUBLIC</t>
        </is>
      </c>
      <c r="E5" s="6" t="inlineStr">
        <is>
          <t>local hash 473ab08fd766fe38</t>
        </is>
      </c>
      <c r="F5" s="6" t="inlineStr">
        <is>
          <t>Geometric bookkeeping guide to Feynman-integral reduction and epsilon-factorized differential equations</t>
        </is>
      </c>
      <c r="G5" s="6" t="inlineStr">
        <is>
          <t>10.1103/pyt8-d7rt</t>
        </is>
      </c>
      <c r="H5" s="6" t="inlineStr">
        <is>
          <t>dimensionally regulated Feynman-integral families</t>
        </is>
      </c>
      <c r="I5" s="6" t="inlineStr">
        <is>
          <t>published</t>
        </is>
      </c>
      <c r="J5" s="6" t="inlineStr">
        <is>
          <t>Feynman-integral results; QFT claims of any kind</t>
        </is>
      </c>
    </row>
    <row r="6">
      <c r="A6" s="6" t="inlineStr">
        <is>
          <t>SRC-V4X2-05</t>
        </is>
      </c>
      <c r="B6" s="6" t="inlineStr">
        <is>
          <t>source</t>
        </is>
      </c>
      <c r="C6" s="6" t="inlineStr">
        <is>
          <t>SOURCE_CLAIM</t>
        </is>
      </c>
      <c r="D6" s="6" t="inlineStr">
        <is>
          <t>PUBLIC</t>
        </is>
      </c>
      <c r="E6" s="6" t="inlineStr">
        <is>
          <t>local hash 32f952347682a67e</t>
        </is>
      </c>
      <c r="F6" s="6" t="inlineStr">
        <is>
          <t>White-beam spin-echo interferometer for neutron orbital angular momentum generation</t>
        </is>
      </c>
      <c r="G6" s="6" t="inlineStr">
        <is>
          <t>10.1063/5.0321755</t>
        </is>
      </c>
      <c r="H6" s="6" t="inlineStr">
        <is>
          <t>CANISIUS broadband spin-echo interferometer</t>
        </is>
      </c>
      <c r="I6" s="6" t="inlineStr">
        <is>
          <t>published</t>
        </is>
      </c>
      <c r="J6" s="6" t="inlineStr">
        <is>
          <t>neutron physics; OAM-beam claims for resonators</t>
        </is>
      </c>
    </row>
  </sheetData>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G2"/>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16" customWidth="1" min="3" max="3"/>
    <col width="15" customWidth="1" min="4" max="4"/>
    <col width="48" customWidth="1" min="5" max="5"/>
    <col width="60" customWidth="1" min="6" max="6"/>
    <col width="39" customWidth="1" min="7" max="7"/>
  </cols>
  <sheetData>
    <row r="1">
      <c r="A1" s="24" t="inlineStr">
        <is>
          <t>id</t>
        </is>
      </c>
      <c r="B1" s="24" t="inlineStr">
        <is>
          <t>kind</t>
        </is>
      </c>
      <c r="C1" s="24" t="inlineStr">
        <is>
          <t>evidence_class</t>
        </is>
      </c>
      <c r="D1" s="24" t="inlineStr">
        <is>
          <t>privacy_class</t>
        </is>
      </c>
      <c r="E1" s="24" t="inlineStr">
        <is>
          <t>provenance</t>
        </is>
      </c>
      <c r="F1" s="24" t="inlineStr">
        <is>
          <t>statement</t>
        </is>
      </c>
      <c r="G1" s="24" t="inlineStr">
        <is>
          <t>note</t>
        </is>
      </c>
    </row>
    <row r="2">
      <c r="A2" s="5" t="inlineStr">
        <is>
          <t>LORE-POLICY</t>
        </is>
      </c>
      <c r="B2" s="5" t="inlineStr">
        <is>
          <t>lore_policy</t>
        </is>
      </c>
      <c r="C2" s="5" t="inlineStr">
        <is>
          <t>LORE</t>
        </is>
      </c>
      <c r="D2" s="5" t="inlineStr">
        <is>
          <t>PUBLIC_SAFE</t>
        </is>
      </c>
      <c r="E2" s="5" t="inlineStr">
        <is>
          <t>docs/v4/resonator/LORE_AND_INTUITION_POLICY.md</t>
        </is>
      </c>
      <c r="F2" s="5" t="inlineStr">
        <is>
          <t>private lore is preserved local-only with consent control; observation is separated from interpretation; nothing in the lore lane is evidence</t>
        </is>
      </c>
      <c r="G2" s="5" t="inlineStr">
        <is>
          <t>public workbooks exclude private rows</t>
        </is>
      </c>
    </row>
  </sheetData>
  <pageMargins left="0.75" right="0.75" top="1" bottom="1" header="0.5" footer="0.5"/>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L2"/>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20" customWidth="1" min="3" max="3"/>
    <col width="15" customWidth="1" min="4" max="4"/>
    <col width="24" customWidth="1" min="5" max="5"/>
    <col width="16" customWidth="1" min="6" max="6"/>
    <col width="27" customWidth="1" min="7" max="7"/>
    <col width="10" customWidth="1" min="8" max="8"/>
    <col width="11" customWidth="1" min="9" max="9"/>
    <col width="30" customWidth="1" min="10" max="10"/>
    <col width="60" customWidth="1" min="11" max="11"/>
    <col width="10" customWidth="1" min="12" max="12"/>
  </cols>
  <sheetData>
    <row r="1">
      <c r="A1" s="24" t="inlineStr">
        <is>
          <t>id</t>
        </is>
      </c>
      <c r="B1" s="24" t="inlineStr">
        <is>
          <t>kind</t>
        </is>
      </c>
      <c r="C1" s="24" t="inlineStr">
        <is>
          <t>evidence_class</t>
        </is>
      </c>
      <c r="D1" s="24" t="inlineStr">
        <is>
          <t>privacy_class</t>
        </is>
      </c>
      <c r="E1" s="24" t="inlineStr">
        <is>
          <t>provenance</t>
        </is>
      </c>
      <c r="F1" s="24" t="inlineStr">
        <is>
          <t>product</t>
        </is>
      </c>
      <c r="G1" s="24" t="inlineStr">
        <is>
          <t>install_scope</t>
        </is>
      </c>
      <c r="H1" s="24" t="inlineStr">
        <is>
          <t>signed</t>
        </is>
      </c>
      <c r="I1" s="24" t="inlineStr">
        <is>
          <t>telemetry</t>
        </is>
      </c>
      <c r="J1" s="24" t="inlineStr">
        <is>
          <t>network</t>
        </is>
      </c>
      <c r="K1" s="24" t="inlineStr">
        <is>
          <t>claim_boundary</t>
        </is>
      </c>
      <c r="L1" s="24" t="inlineStr">
        <is>
          <t>version</t>
        </is>
      </c>
    </row>
    <row r="2">
      <c r="A2" s="7" t="inlineStr">
        <is>
          <t>REL-v4.5.0</t>
        </is>
      </c>
      <c r="B2" s="7" t="inlineStr">
        <is>
          <t>release_metadata</t>
        </is>
      </c>
      <c r="C2" s="7" t="inlineStr">
        <is>
          <t>DERIVED_ARITHMETIC</t>
        </is>
      </c>
      <c r="D2" s="7" t="inlineStr">
        <is>
          <t>PUBLIC</t>
        </is>
      </c>
      <c r="E2" s="7" t="inlineStr">
        <is>
          <t>pyproject.toml + build</t>
        </is>
      </c>
      <c r="F2" s="7" t="inlineStr">
        <is>
          <t>RGCS Workbench</t>
        </is>
      </c>
      <c r="G2" s="7" t="inlineStr">
        <is>
          <t>per-user (%LOCALAPPDATA%)</t>
        </is>
      </c>
      <c r="H2" s="7" t="b">
        <v>0</v>
      </c>
      <c r="I2" s="7" t="b">
        <v>0</v>
      </c>
      <c r="J2" s="7" t="inlineStr">
        <is>
          <t>loopback only, no auto-start</t>
        </is>
      </c>
      <c r="K2" s="7" t="inlineStr">
        <is>
          <t>SOFTWARE only; no physical crystal resonance, Eye, or anomalous channel is validated</t>
        </is>
      </c>
      <c r="L2" s="7" t="inlineStr">
        <is>
          <t>4.7.0</t>
        </is>
      </c>
    </row>
  </sheetData>
  <pageMargins left="0.75" right="0.75" top="1" bottom="1" header="0.5" footer="0.5"/>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L18"/>
  <sheetViews>
    <sheetView workbookViewId="0">
      <pane ySplit="1" topLeftCell="A2" activePane="bottomLeft" state="frozen"/>
      <selection pane="bottomLeft" activeCell="A1" sqref="A1"/>
    </sheetView>
  </sheetViews>
  <sheetFormatPr baseColWidth="8" defaultRowHeight="15"/>
  <cols>
    <col width="22" customWidth="1" min="1" max="1"/>
    <col width="16" customWidth="1" min="2" max="2"/>
    <col width="20" customWidth="1" min="3" max="3"/>
    <col width="15" customWidth="1" min="4" max="4"/>
    <col width="45" customWidth="1" min="5" max="5"/>
    <col width="45" customWidth="1" min="6" max="6"/>
    <col width="10" customWidth="1" min="7" max="7"/>
    <col width="45" customWidth="1" min="8" max="8"/>
    <col width="21" customWidth="1" min="9" max="9"/>
    <col width="30" customWidth="1" min="10" max="10"/>
    <col width="22" customWidth="1" min="11" max="11"/>
    <col width="60" customWidth="1" min="12" max="12"/>
  </cols>
  <sheetData>
    <row r="1">
      <c r="A1" s="24" t="inlineStr">
        <is>
          <t>id</t>
        </is>
      </c>
      <c r="B1" s="24" t="inlineStr">
        <is>
          <t>kind</t>
        </is>
      </c>
      <c r="C1" s="24" t="inlineStr">
        <is>
          <t>evidence_class</t>
        </is>
      </c>
      <c r="D1" s="24" t="inlineStr">
        <is>
          <t>privacy_class</t>
        </is>
      </c>
      <c r="E1" s="24" t="inlineStr">
        <is>
          <t>provenance</t>
        </is>
      </c>
      <c r="F1" s="24" t="inlineStr">
        <is>
          <t>exact_value</t>
        </is>
      </c>
      <c r="G1" s="24" t="inlineStr">
        <is>
          <t>unit</t>
        </is>
      </c>
      <c r="H1" s="24" t="inlineStr">
        <is>
          <t>physically_supported_value</t>
        </is>
      </c>
      <c r="I1" s="24" t="inlineStr">
        <is>
          <t>significant_figures</t>
        </is>
      </c>
      <c r="J1" s="24" t="inlineStr">
        <is>
          <t>overclaims_if_quoted_exactly</t>
        </is>
      </c>
      <c r="K1" s="24" t="inlineStr">
        <is>
          <t>status</t>
        </is>
      </c>
      <c r="L1" s="24" t="inlineStr">
        <is>
          <t>note</t>
        </is>
      </c>
    </row>
    <row r="2">
      <c r="A2" s="7" t="inlineStr">
        <is>
          <t>FKEY-CSPC-DELTA</t>
        </is>
      </c>
      <c r="B2" s="7" t="inlineStr">
        <is>
          <t>cspc_candidate</t>
        </is>
      </c>
      <c r="C2" s="7" t="inlineStr">
        <is>
          <t>DERIVED_ARITHMETIC</t>
        </is>
      </c>
      <c r="D2" s="7" t="inlineStr">
        <is>
          <t>PUBLIC</t>
        </is>
      </c>
      <c r="E2" s="7" t="inlineStr">
        <is>
          <t>2.45e9 / 2^36</t>
        </is>
      </c>
      <c r="F2" s="7" t="inlineStr">
        <is>
          <t>0.03565219230949878692626953125</t>
        </is>
      </c>
      <c r="G2" s="7" t="inlineStr">
        <is>
          <t>Hz</t>
        </is>
      </c>
      <c r="H2" s="7" t="inlineStr">
        <is>
          <t>0.0357</t>
        </is>
      </c>
      <c r="I2" s="7" t="n">
        <v>3</v>
      </c>
      <c r="J2" s="7" t="b">
        <v>1</v>
      </c>
      <c r="K2" s="7" t="inlineStr">
        <is>
          <t>DERIVED_ARITHMETIC</t>
        </is>
      </c>
      <c r="L2" s="7" t="inlineStr">
        <is>
          <t>abstract 36-bit DDS LSB; period 536870912/19140625 s (~28.0487660147 s)</t>
        </is>
      </c>
    </row>
    <row r="3">
      <c r="A3" s="7" t="inlineStr">
        <is>
          <t>FKEY-CSPC-FOLD-5</t>
        </is>
      </c>
      <c r="B3" s="7" t="inlineStr">
        <is>
          <t>cspc_candidate</t>
        </is>
      </c>
      <c r="C3" s="7" t="inlineStr">
        <is>
          <t>DERIVED_ARITHMETIC</t>
        </is>
      </c>
      <c r="D3" s="7" t="inlineStr">
        <is>
          <t>PUBLIC</t>
        </is>
      </c>
      <c r="E3" s="7" t="inlineStr">
        <is>
          <t>2.45e9 / 8^5</t>
        </is>
      </c>
      <c r="F3" s="7" t="inlineStr">
        <is>
          <t>74768.06640625</t>
        </is>
      </c>
      <c r="G3" s="7" t="inlineStr">
        <is>
          <t>Hz</t>
        </is>
      </c>
      <c r="H3" s="7" t="inlineStr">
        <is>
          <t>74800</t>
        </is>
      </c>
      <c r="I3" s="7" t="n">
        <v>3</v>
      </c>
      <c r="J3" s="7" t="b">
        <v>1</v>
      </c>
      <c r="K3" s="7" t="inlineStr">
        <is>
          <t>REGISTERED_CANDIDATE</t>
        </is>
      </c>
      <c r="L3" s="7" t="inlineStr"/>
    </row>
    <row r="4">
      <c r="A4" s="7" t="inlineStr">
        <is>
          <t>FKEY-CSPC-FOLD-6</t>
        </is>
      </c>
      <c r="B4" s="7" t="inlineStr">
        <is>
          <t>cspc_candidate</t>
        </is>
      </c>
      <c r="C4" s="7" t="inlineStr">
        <is>
          <t>DERIVED_ARITHMETIC</t>
        </is>
      </c>
      <c r="D4" s="7" t="inlineStr">
        <is>
          <t>PUBLIC</t>
        </is>
      </c>
      <c r="E4" s="7" t="inlineStr">
        <is>
          <t>2.45e9 / 8^6</t>
        </is>
      </c>
      <c r="F4" s="7" t="inlineStr">
        <is>
          <t>9346.00830078125</t>
        </is>
      </c>
      <c r="G4" s="7" t="inlineStr">
        <is>
          <t>Hz</t>
        </is>
      </c>
      <c r="H4" s="7" t="inlineStr">
        <is>
          <t>9350</t>
        </is>
      </c>
      <c r="I4" s="7" t="n">
        <v>3</v>
      </c>
      <c r="J4" s="7" t="b">
        <v>1</v>
      </c>
      <c r="K4" s="7" t="inlineStr">
        <is>
          <t>REGISTERED_CANDIDATE</t>
        </is>
      </c>
      <c r="L4" s="7" t="inlineStr"/>
    </row>
    <row r="5">
      <c r="A5" s="7" t="inlineStr">
        <is>
          <t>FKEY-CSPC-FOLD-7</t>
        </is>
      </c>
      <c r="B5" s="7" t="inlineStr">
        <is>
          <t>cspc_candidate</t>
        </is>
      </c>
      <c r="C5" s="7" t="inlineStr">
        <is>
          <t>DERIVED_ARITHMETIC</t>
        </is>
      </c>
      <c r="D5" s="7" t="inlineStr">
        <is>
          <t>PUBLIC</t>
        </is>
      </c>
      <c r="E5" s="7" t="inlineStr">
        <is>
          <t>2.45e9 / 8^7</t>
        </is>
      </c>
      <c r="F5" s="7" t="inlineStr">
        <is>
          <t>1168.25103759765625</t>
        </is>
      </c>
      <c r="G5" s="7" t="inlineStr">
        <is>
          <t>Hz</t>
        </is>
      </c>
      <c r="H5" s="7" t="inlineStr">
        <is>
          <t>1170</t>
        </is>
      </c>
      <c r="I5" s="7" t="n">
        <v>3</v>
      </c>
      <c r="J5" s="7" t="b">
        <v>1</v>
      </c>
      <c r="K5" s="7" t="inlineStr">
        <is>
          <t>REGISTERED_CANDIDATE</t>
        </is>
      </c>
      <c r="L5" s="7" t="inlineStr"/>
    </row>
    <row r="6">
      <c r="A6" s="7" t="inlineStr">
        <is>
          <t>FKEY-CSPC-FOLD-8</t>
        </is>
      </c>
      <c r="B6" s="7" t="inlineStr">
        <is>
          <t>cspc_candidate</t>
        </is>
      </c>
      <c r="C6" s="7" t="inlineStr">
        <is>
          <t>DERIVED_ARITHMETIC</t>
        </is>
      </c>
      <c r="D6" s="7" t="inlineStr">
        <is>
          <t>PUBLIC</t>
        </is>
      </c>
      <c r="E6" s="7" t="inlineStr">
        <is>
          <t>2.45e9 / 8^8</t>
        </is>
      </c>
      <c r="F6" s="7" t="inlineStr">
        <is>
          <t>146.03137969970703125</t>
        </is>
      </c>
      <c r="G6" s="7" t="inlineStr">
        <is>
          <t>Hz</t>
        </is>
      </c>
      <c r="H6" s="7" t="inlineStr">
        <is>
          <t>146</t>
        </is>
      </c>
      <c r="I6" s="7" t="n">
        <v>3</v>
      </c>
      <c r="J6" s="7" t="b">
        <v>1</v>
      </c>
      <c r="K6" s="7" t="inlineStr">
        <is>
          <t>REGISTERED_CANDIDATE</t>
        </is>
      </c>
      <c r="L6" s="7" t="inlineStr"/>
    </row>
    <row r="7">
      <c r="A7" s="7" t="inlineStr">
        <is>
          <t>FKEY-CSPC-FOLD-9</t>
        </is>
      </c>
      <c r="B7" s="7" t="inlineStr">
        <is>
          <t>cspc_candidate</t>
        </is>
      </c>
      <c r="C7" s="7" t="inlineStr">
        <is>
          <t>DERIVED_ARITHMETIC</t>
        </is>
      </c>
      <c r="D7" s="7" t="inlineStr">
        <is>
          <t>PUBLIC</t>
        </is>
      </c>
      <c r="E7" s="7" t="inlineStr">
        <is>
          <t>2.45e9 / 8^9</t>
        </is>
      </c>
      <c r="F7" s="7" t="inlineStr">
        <is>
          <t>18.25392246246337890625</t>
        </is>
      </c>
      <c r="G7" s="7" t="inlineStr">
        <is>
          <t>Hz</t>
        </is>
      </c>
      <c r="H7" s="7" t="inlineStr">
        <is>
          <t>18.3</t>
        </is>
      </c>
      <c r="I7" s="7" t="n">
        <v>3</v>
      </c>
      <c r="J7" s="7" t="b">
        <v>1</v>
      </c>
      <c r="K7" s="7" t="inlineStr">
        <is>
          <t>REGISTERED_CANDIDATE</t>
        </is>
      </c>
      <c r="L7" s="7" t="inlineStr">
        <is>
          <t>primary low-frequency fold candidate</t>
        </is>
      </c>
    </row>
    <row r="8">
      <c r="A8" s="7" t="inlineStr">
        <is>
          <t>FKEY-CSPC-FOLD-10</t>
        </is>
      </c>
      <c r="B8" s="7" t="inlineStr">
        <is>
          <t>cspc_candidate</t>
        </is>
      </c>
      <c r="C8" s="7" t="inlineStr">
        <is>
          <t>DERIVED_ARITHMETIC</t>
        </is>
      </c>
      <c r="D8" s="7" t="inlineStr">
        <is>
          <t>PUBLIC</t>
        </is>
      </c>
      <c r="E8" s="7" t="inlineStr">
        <is>
          <t>2.45e9 / 8^10</t>
        </is>
      </c>
      <c r="F8" s="7" t="inlineStr">
        <is>
          <t>2.28174030780792236328125</t>
        </is>
      </c>
      <c r="G8" s="7" t="inlineStr">
        <is>
          <t>Hz</t>
        </is>
      </c>
      <c r="H8" s="7" t="inlineStr">
        <is>
          <t>2.28</t>
        </is>
      </c>
      <c r="I8" s="7" t="n">
        <v>3</v>
      </c>
      <c r="J8" s="7" t="b">
        <v>1</v>
      </c>
      <c r="K8" s="7" t="inlineStr">
        <is>
          <t>REGISTERED_CANDIDATE</t>
        </is>
      </c>
      <c r="L8" s="7" t="inlineStr"/>
    </row>
    <row r="9">
      <c r="A9" s="7" t="inlineStr">
        <is>
          <t>FKEY-CSPC-FOLD-11</t>
        </is>
      </c>
      <c r="B9" s="7" t="inlineStr">
        <is>
          <t>cspc_candidate</t>
        </is>
      </c>
      <c r="C9" s="7" t="inlineStr">
        <is>
          <t>DERIVED_ARITHMETIC</t>
        </is>
      </c>
      <c r="D9" s="7" t="inlineStr">
        <is>
          <t>PUBLIC</t>
        </is>
      </c>
      <c r="E9" s="7" t="inlineStr">
        <is>
          <t>2.45e9 / 8^11</t>
        </is>
      </c>
      <c r="F9" s="7" t="inlineStr">
        <is>
          <t>0.28521753847599029541015625</t>
        </is>
      </c>
      <c r="G9" s="7" t="inlineStr">
        <is>
          <t>Hz</t>
        </is>
      </c>
      <c r="H9" s="7" t="inlineStr">
        <is>
          <t>0.285</t>
        </is>
      </c>
      <c r="I9" s="7" t="n">
        <v>3</v>
      </c>
      <c r="J9" s="7" t="b">
        <v>1</v>
      </c>
      <c r="K9" s="7" t="inlineStr">
        <is>
          <t>REGISTERED_CANDIDATE</t>
        </is>
      </c>
      <c r="L9" s="7" t="inlineStr"/>
    </row>
    <row r="10">
      <c r="A10" s="7" t="inlineStr">
        <is>
          <t>FKEY-CSPC-OPT</t>
        </is>
      </c>
      <c r="B10" s="7" t="inlineStr">
        <is>
          <t>cspc_candidate</t>
        </is>
      </c>
      <c r="C10" s="7" t="inlineStr">
        <is>
          <t>DERIVED_ARITHMETIC</t>
        </is>
      </c>
      <c r="D10" s="7" t="inlineStr">
        <is>
          <t>PUBLIC</t>
        </is>
      </c>
      <c r="E10" s="7" t="inlineStr">
        <is>
          <t>4096 * 2^37 = 2^49</t>
        </is>
      </c>
      <c r="F10" s="7" t="inlineStr">
        <is>
          <t>562949953421312</t>
        </is>
      </c>
      <c r="G10" s="7" t="inlineStr">
        <is>
          <t>Hz</t>
        </is>
      </c>
      <c r="H10" s="7" t="inlineStr">
        <is>
          <t>562949953421312</t>
        </is>
      </c>
      <c r="I10" s="7" t="inlineStr">
        <is>
          <t>exact</t>
        </is>
      </c>
      <c r="J10" s="7" t="b">
        <v>0</v>
      </c>
      <c r="K10" s="7" t="inlineStr">
        <is>
          <t>DERIVED_ARITHMETIC</t>
        </is>
      </c>
      <c r="L10" s="7" t="inlineStr">
        <is>
          <t>exact integer arithmetic; NOT evidence of optical coupling</t>
        </is>
      </c>
    </row>
    <row r="11">
      <c r="A11" s="7" t="inlineStr">
        <is>
          <t>FKEY-CSPC-OPT-LAMBDA</t>
        </is>
      </c>
      <c r="B11" s="7" t="inlineStr">
        <is>
          <t>cspc_candidate</t>
        </is>
      </c>
      <c r="C11" s="7" t="inlineStr">
        <is>
          <t>DERIVED_ARITHMETIC</t>
        </is>
      </c>
      <c r="D11" s="7" t="inlineStr">
        <is>
          <t>PUBLIC</t>
        </is>
      </c>
      <c r="E11" s="7" t="inlineStr">
        <is>
          <t>c / (4096 * 2^37), c exact by SI definition</t>
        </is>
      </c>
      <c r="F11" s="7" t="inlineStr">
        <is>
          <t>532.538383168912332621403038501739501953125</t>
        </is>
      </c>
      <c r="G11" s="7" t="inlineStr">
        <is>
          <t>nm</t>
        </is>
      </c>
      <c r="H11" s="7" t="inlineStr">
        <is>
          <t>532.538383168912332621403038501739501953125</t>
        </is>
      </c>
      <c r="I11" s="7" t="inlineStr">
        <is>
          <t>exact</t>
        </is>
      </c>
      <c r="J11" s="7" t="b">
        <v>0</v>
      </c>
      <c r="K11" s="7" t="inlineStr">
        <is>
          <t>DERIVED_ARITHMETIC</t>
        </is>
      </c>
      <c r="L11" s="7" t="inlineStr">
        <is>
          <t>exact by definition; the pack quotes it as 532.5383831689123 nm</t>
        </is>
      </c>
    </row>
    <row r="12">
      <c r="A12" s="7" t="inlineStr">
        <is>
          <t>FKEY-4096</t>
        </is>
      </c>
      <c r="B12" s="7" t="inlineStr">
        <is>
          <t>cspc_candidate</t>
        </is>
      </c>
      <c r="C12" s="7" t="inlineStr">
        <is>
          <t>DERIVED_ARITHMETIC</t>
        </is>
      </c>
      <c r="D12" s="7" t="inlineStr">
        <is>
          <t>PUBLIC</t>
        </is>
      </c>
      <c r="E12" s="7" t="inlineStr">
        <is>
          <t>source/derived master</t>
        </is>
      </c>
      <c r="F12" s="7" t="inlineStr">
        <is>
          <t>4096</t>
        </is>
      </c>
      <c r="G12" s="7" t="inlineStr">
        <is>
          <t>Hz</t>
        </is>
      </c>
      <c r="H12" s="7" t="inlineStr">
        <is>
          <t>4096</t>
        </is>
      </c>
      <c r="I12" s="7" t="inlineStr">
        <is>
          <t>exact</t>
        </is>
      </c>
      <c r="J12" s="7" t="b">
        <v>0</v>
      </c>
      <c r="K12" s="7" t="inlineStr">
        <is>
          <t>REGISTERED_CANDIDATE</t>
        </is>
      </c>
      <c r="L12" s="7" t="inlineStr"/>
    </row>
    <row r="13">
      <c r="A13" s="7" t="inlineStr">
        <is>
          <t>FKEY-20480</t>
        </is>
      </c>
      <c r="B13" s="7" t="inlineStr">
        <is>
          <t>cspc_candidate</t>
        </is>
      </c>
      <c r="C13" s="7" t="inlineStr">
        <is>
          <t>DERIVED_ARITHMETIC</t>
        </is>
      </c>
      <c r="D13" s="7" t="inlineStr">
        <is>
          <t>PUBLIC</t>
        </is>
      </c>
      <c r="E13" s="7" t="inlineStr">
        <is>
          <t>4096 * 5</t>
        </is>
      </c>
      <c r="F13" s="7" t="inlineStr">
        <is>
          <t>20480</t>
        </is>
      </c>
      <c r="G13" s="7" t="inlineStr">
        <is>
          <t>Hz</t>
        </is>
      </c>
      <c r="H13" s="7" t="inlineStr">
        <is>
          <t>20480</t>
        </is>
      </c>
      <c r="I13" s="7" t="inlineStr">
        <is>
          <t>exact</t>
        </is>
      </c>
      <c r="J13" s="7" t="b">
        <v>0</v>
      </c>
      <c r="K13" s="7" t="inlineStr">
        <is>
          <t>REGISTERED_TARGET</t>
        </is>
      </c>
      <c r="L13" s="7" t="inlineStr">
        <is>
          <t>exact fifth harmonic IF the drive waveform contains one; a pure sine does not</t>
        </is>
      </c>
    </row>
    <row r="14">
      <c r="A14" s="7" t="inlineStr">
        <is>
          <t>FKEY-32768</t>
        </is>
      </c>
      <c r="B14" s="7" t="inlineStr">
        <is>
          <t>cspc_candidate</t>
        </is>
      </c>
      <c r="C14" s="7" t="inlineStr">
        <is>
          <t>DERIVED_ARITHMETIC</t>
        </is>
      </c>
      <c r="D14" s="7" t="inlineStr">
        <is>
          <t>PUBLIC</t>
        </is>
      </c>
      <c r="E14" s="7" t="inlineStr">
        <is>
          <t>2^15</t>
        </is>
      </c>
      <c r="F14" s="7" t="inlineStr">
        <is>
          <t>32768</t>
        </is>
      </c>
      <c r="G14" s="7" t="inlineStr">
        <is>
          <t>Hz</t>
        </is>
      </c>
      <c r="H14" s="7" t="inlineStr">
        <is>
          <t>32768</t>
        </is>
      </c>
      <c r="I14" s="7" t="inlineStr">
        <is>
          <t>exact</t>
        </is>
      </c>
      <c r="J14" s="7" t="b">
        <v>0</v>
      </c>
      <c r="K14" s="7" t="inlineStr">
        <is>
          <t>REGISTERED_CANDIDATE</t>
        </is>
      </c>
      <c r="L14" s="7" t="inlineStr">
        <is>
          <t>standard quartz clock crystal, for comparison</t>
        </is>
      </c>
    </row>
    <row r="15">
      <c r="A15" s="7" t="inlineStr">
        <is>
          <t>FKEY-40960</t>
        </is>
      </c>
      <c r="B15" s="7" t="inlineStr">
        <is>
          <t>cspc_candidate</t>
        </is>
      </c>
      <c r="C15" s="7" t="inlineStr">
        <is>
          <t>DERIVED_ARITHMETIC</t>
        </is>
      </c>
      <c r="D15" s="7" t="inlineStr">
        <is>
          <t>PUBLIC</t>
        </is>
      </c>
      <c r="E15" s="7" t="inlineStr">
        <is>
          <t>20480 * 2</t>
        </is>
      </c>
      <c r="F15" s="7" t="inlineStr">
        <is>
          <t>40960</t>
        </is>
      </c>
      <c r="G15" s="7" t="inlineStr">
        <is>
          <t>Hz</t>
        </is>
      </c>
      <c r="H15" s="7" t="inlineStr">
        <is>
          <t>40960</t>
        </is>
      </c>
      <c r="I15" s="7" t="inlineStr">
        <is>
          <t>exact</t>
        </is>
      </c>
      <c r="J15" s="7" t="b">
        <v>0</v>
      </c>
      <c r="K15" s="7" t="inlineStr">
        <is>
          <t>REGISTERED_TARGET</t>
        </is>
      </c>
      <c r="L15" s="7" t="inlineStr"/>
    </row>
    <row r="16">
      <c r="A16" s="7" t="inlineStr">
        <is>
          <t>FKEY-20_48</t>
        </is>
      </c>
      <c r="B16" s="7" t="inlineStr">
        <is>
          <t>cspc_candidate</t>
        </is>
      </c>
      <c r="C16" s="7" t="inlineStr">
        <is>
          <t>DERIVED_ARITHMETIC</t>
        </is>
      </c>
      <c r="D16" s="7" t="inlineStr">
        <is>
          <t>PUBLIC</t>
        </is>
      </c>
      <c r="E16" s="7" t="inlineStr">
        <is>
          <t>4096 / 200</t>
        </is>
      </c>
      <c r="F16" s="7" t="inlineStr">
        <is>
          <t>20.48</t>
        </is>
      </c>
      <c r="G16" s="7" t="inlineStr">
        <is>
          <t>Hz</t>
        </is>
      </c>
      <c r="H16" s="7" t="inlineStr">
        <is>
          <t>20.48</t>
        </is>
      </c>
      <c r="I16" s="7" t="inlineStr">
        <is>
          <t>exact</t>
        </is>
      </c>
      <c r="J16" s="7" t="b">
        <v>0</v>
      </c>
      <c r="K16" s="7" t="inlineStr">
        <is>
          <t>REGISTERED_CANDIDATE</t>
        </is>
      </c>
      <c r="L16" s="7" t="inlineStr"/>
    </row>
    <row r="17">
      <c r="A17" s="7" t="inlineStr">
        <is>
          <t>FKEY-40_96</t>
        </is>
      </c>
      <c r="B17" s="7" t="inlineStr">
        <is>
          <t>cspc_candidate</t>
        </is>
      </c>
      <c r="C17" s="7" t="inlineStr">
        <is>
          <t>DERIVED_ARITHMETIC</t>
        </is>
      </c>
      <c r="D17" s="7" t="inlineStr">
        <is>
          <t>PUBLIC</t>
        </is>
      </c>
      <c r="E17" s="7" t="inlineStr">
        <is>
          <t>4096 / 100</t>
        </is>
      </c>
      <c r="F17" s="7" t="inlineStr">
        <is>
          <t>40.96</t>
        </is>
      </c>
      <c r="G17" s="7" t="inlineStr">
        <is>
          <t>Hz</t>
        </is>
      </c>
      <c r="H17" s="7" t="inlineStr">
        <is>
          <t>40.96</t>
        </is>
      </c>
      <c r="I17" s="7" t="inlineStr">
        <is>
          <t>exact</t>
        </is>
      </c>
      <c r="J17" s="7" t="b">
        <v>0</v>
      </c>
      <c r="K17" s="7" t="inlineStr">
        <is>
          <t>REGISTERED_CANDIDATE</t>
        </is>
      </c>
      <c r="L17" s="7" t="inlineStr"/>
    </row>
    <row r="18">
      <c r="A18" s="7" t="inlineStr">
        <is>
          <t>FKEY-8HZ</t>
        </is>
      </c>
      <c r="B18" s="7" t="inlineStr">
        <is>
          <t>cspc_candidate</t>
        </is>
      </c>
      <c r="C18" s="7" t="inlineStr">
        <is>
          <t>DERIVED_ARITHMETIC</t>
        </is>
      </c>
      <c r="D18" s="7" t="inlineStr">
        <is>
          <t>PUBLIC</t>
        </is>
      </c>
      <c r="E18" s="7" t="inlineStr">
        <is>
          <t>historical/base</t>
        </is>
      </c>
      <c r="F18" s="7" t="inlineStr">
        <is>
          <t>8</t>
        </is>
      </c>
      <c r="G18" s="7" t="inlineStr">
        <is>
          <t>Hz</t>
        </is>
      </c>
      <c r="H18" s="7" t="inlineStr">
        <is>
          <t>8</t>
        </is>
      </c>
      <c r="I18" s="7" t="inlineStr">
        <is>
          <t>exact</t>
        </is>
      </c>
      <c r="J18" s="7" t="b">
        <v>0</v>
      </c>
      <c r="K18" s="7" t="inlineStr">
        <is>
          <t>REGISTERED_CANDIDATE</t>
        </is>
      </c>
      <c r="L18" s="7" t="inlineStr"/>
    </row>
  </sheetData>
  <pageMargins left="0.75" right="0.75" top="1" bottom="1" header="0.5" footer="0.5"/>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I6"/>
  <sheetViews>
    <sheetView workbookViewId="0">
      <pane ySplit="1" topLeftCell="A2" activePane="bottomLeft" state="frozen"/>
      <selection pane="bottomLeft" activeCell="A1" sqref="A1"/>
    </sheetView>
  </sheetViews>
  <sheetFormatPr baseColWidth="8" defaultRowHeight="15"/>
  <cols>
    <col width="20" customWidth="1" min="1" max="1"/>
    <col width="11" customWidth="1" min="2" max="2"/>
    <col width="20" customWidth="1" min="3" max="3"/>
    <col width="15" customWidth="1" min="4" max="4"/>
    <col width="41" customWidth="1" min="5" max="5"/>
    <col width="50" customWidth="1" min="6" max="6"/>
    <col width="17" customWidth="1" min="7" max="7"/>
    <col width="12" customWidth="1" min="8" max="8"/>
    <col width="60" customWidth="1" min="9" max="9"/>
  </cols>
  <sheetData>
    <row r="1">
      <c r="A1" s="24" t="inlineStr">
        <is>
          <t>id</t>
        </is>
      </c>
      <c r="B1" s="24" t="inlineStr">
        <is>
          <t>kind</t>
        </is>
      </c>
      <c r="C1" s="24" t="inlineStr">
        <is>
          <t>evidence_class</t>
        </is>
      </c>
      <c r="D1" s="24" t="inlineStr">
        <is>
          <t>privacy_class</t>
        </is>
      </c>
      <c r="E1" s="24" t="inlineStr">
        <is>
          <t>provenance</t>
        </is>
      </c>
      <c r="F1" s="24" t="inlineStr">
        <is>
          <t>source_phrase</t>
        </is>
      </c>
      <c r="G1" s="24" t="inlineStr">
        <is>
          <t>status</t>
        </is>
      </c>
      <c r="H1" s="24" t="inlineStr">
        <is>
          <t>n_readings</t>
        </is>
      </c>
      <c r="I1" s="24" t="inlineStr">
        <is>
          <t>resolution</t>
        </is>
      </c>
    </row>
    <row r="2">
      <c r="A2" s="6" t="inlineStr">
        <is>
          <t>TETRA-AMBIGUITY</t>
        </is>
      </c>
      <c r="B2" s="6" t="inlineStr">
        <is>
          <t>ambiguity</t>
        </is>
      </c>
      <c r="C2" s="6" t="inlineStr">
        <is>
          <t>SOURCE_CLAIM</t>
        </is>
      </c>
      <c r="D2" s="6" t="inlineStr">
        <is>
          <t>PUBLIC</t>
        </is>
      </c>
      <c r="E2" s="6" t="inlineStr">
        <is>
          <t>cspc.tetra.ambiguity_report</t>
        </is>
      </c>
      <c r="F2" s="6" t="inlineStr">
        <is>
          <t>4096 and 64 are linked to a 64-tetrahedron grid.</t>
        </is>
      </c>
      <c r="G2" s="6" t="inlineStr">
        <is>
          <t>UNDERDETERMINED</t>
        </is>
      </c>
      <c r="H2" s="6" t="n">
        <v>4</v>
      </c>
      <c r="I2" s="6" t="inlineStr">
        <is>
          <t>NOT RESOLVED. The source does not specify whether 64 counts cells or vertices, nor which geometry. All readings are analysed; none is promoted.</t>
        </is>
      </c>
    </row>
    <row r="3">
      <c r="A3" s="7" t="inlineStr">
        <is>
          <t>TETRA-CUBIC-4x4x4</t>
        </is>
      </c>
      <c r="B3" s="7" t="inlineStr">
        <is>
          <t>complex</t>
        </is>
      </c>
      <c r="C3" s="7" t="inlineStr">
        <is>
          <t>DERIVED_ARITHMETIC</t>
        </is>
      </c>
      <c r="D3" s="7" t="inlineStr">
        <is>
          <t>PUBLIC</t>
        </is>
      </c>
      <c r="E3" s="7" t="inlineStr">
        <is>
          <t>cspc.tetra reading=READ-NODES-CUBIC</t>
        </is>
      </c>
      <c r="F3" s="7" t="n"/>
      <c r="G3" s="7" t="n"/>
      <c r="H3" s="7" t="n"/>
      <c r="I3" s="7" t="n"/>
    </row>
    <row r="4">
      <c r="A4" s="7" t="inlineStr">
        <is>
          <t>TETRA-HYPERCUBE-Q6</t>
        </is>
      </c>
      <c r="B4" s="7" t="inlineStr">
        <is>
          <t>complex</t>
        </is>
      </c>
      <c r="C4" s="7" t="inlineStr">
        <is>
          <t>DERIVED_ARITHMETIC</t>
        </is>
      </c>
      <c r="D4" s="7" t="inlineStr">
        <is>
          <t>PUBLIC</t>
        </is>
      </c>
      <c r="E4" s="7" t="inlineStr">
        <is>
          <t>cspc.tetra reading=READ-NODES-HYPERCUBE</t>
        </is>
      </c>
      <c r="F4" s="7" t="n"/>
      <c r="G4" s="7" t="n"/>
      <c r="H4" s="7" t="n"/>
      <c r="I4" s="7" t="n"/>
    </row>
    <row r="5">
      <c r="A5" s="7" t="inlineStr">
        <is>
          <t>TETRA-TETRA-SUBDIV</t>
        </is>
      </c>
      <c r="B5" s="7" t="inlineStr">
        <is>
          <t>complex</t>
        </is>
      </c>
      <c r="C5" s="7" t="inlineStr">
        <is>
          <t>DERIVED_ARITHMETIC</t>
        </is>
      </c>
      <c r="D5" s="7" t="inlineStr">
        <is>
          <t>PUBLIC</t>
        </is>
      </c>
      <c r="E5" s="7" t="inlineStr">
        <is>
          <t>cspc.tetra reading=READ-CELLS-SUBDIV</t>
        </is>
      </c>
      <c r="F5" s="7" t="n"/>
      <c r="G5" s="7" t="n"/>
      <c r="H5" s="7" t="n"/>
      <c r="I5" s="7" t="n"/>
    </row>
    <row r="6">
      <c r="A6" s="7" t="inlineStr">
        <is>
          <t>TETRA-FULLER-VE-64</t>
        </is>
      </c>
      <c r="B6" s="7" t="inlineStr">
        <is>
          <t>complex</t>
        </is>
      </c>
      <c r="C6" s="7" t="inlineStr">
        <is>
          <t>DERIVED_ARITHMETIC</t>
        </is>
      </c>
      <c r="D6" s="7" t="inlineStr">
        <is>
          <t>PUBLIC</t>
        </is>
      </c>
      <c r="E6" s="7" t="inlineStr">
        <is>
          <t>cspc.tetra reading=READ-CELLS-FULLER</t>
        </is>
      </c>
      <c r="F6" s="7" t="n"/>
      <c r="G6" s="7" t="n"/>
      <c r="H6" s="7" t="n"/>
      <c r="I6" s="7" t="n"/>
    </row>
  </sheetData>
  <pageMargins left="0.75" right="0.75" top="1" bottom="1" header="0.5" footer="0.5"/>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K7"/>
  <sheetViews>
    <sheetView workbookViewId="0">
      <pane ySplit="1" topLeftCell="A2" activePane="bottomLeft" state="frozen"/>
      <selection pane="bottomLeft" activeCell="A1" sqref="A1"/>
    </sheetView>
  </sheetViews>
  <sheetFormatPr baseColWidth="8" defaultRowHeight="15"/>
  <cols>
    <col width="22" customWidth="1" min="1" max="1"/>
    <col width="14" customWidth="1" min="2" max="2"/>
    <col width="16" customWidth="1" min="3" max="3"/>
    <col width="15" customWidth="1" min="4" max="4"/>
    <col width="30" customWidth="1" min="5" max="5"/>
    <col width="18" customWidth="1" min="6" max="6"/>
    <col width="10" customWidth="1" min="7" max="7"/>
    <col width="23" customWidth="1" min="8" max="8"/>
    <col width="24" customWidth="1" min="9" max="9"/>
    <col width="34" customWidth="1" min="10" max="10"/>
    <col width="12" customWidth="1" min="11" max="11"/>
  </cols>
  <sheetData>
    <row r="1">
      <c r="A1" s="24" t="inlineStr">
        <is>
          <t>id</t>
        </is>
      </c>
      <c r="B1" s="24" t="inlineStr">
        <is>
          <t>kind</t>
        </is>
      </c>
      <c r="C1" s="24" t="inlineStr">
        <is>
          <t>evidence_class</t>
        </is>
      </c>
      <c r="D1" s="24" t="inlineStr">
        <is>
          <t>privacy_class</t>
        </is>
      </c>
      <c r="E1" s="24" t="inlineStr">
        <is>
          <t>provenance</t>
        </is>
      </c>
      <c r="F1" s="24" t="inlineStr">
        <is>
          <t>apparatus</t>
        </is>
      </c>
      <c r="G1" s="24" t="inlineStr">
        <is>
          <t>energy_j</t>
        </is>
      </c>
      <c r="H1" s="24" t="inlineStr">
        <is>
          <t>equivalent_mass_kg</t>
        </is>
      </c>
      <c r="I1" s="24" t="inlineStr">
        <is>
          <t>schwarzschild_radius_m</t>
        </is>
      </c>
      <c r="J1" s="24" t="inlineStr">
        <is>
          <t>orders_of_magnitude_below_proton</t>
        </is>
      </c>
      <c r="K1" s="24" t="inlineStr">
        <is>
          <t>verdict</t>
        </is>
      </c>
    </row>
    <row r="2">
      <c r="A2" s="8" t="inlineStr">
        <is>
          <t>ENERGY-AUDIT-100W-1H</t>
        </is>
      </c>
      <c r="B2" s="8" t="inlineStr">
        <is>
          <t>energy_audit</t>
        </is>
      </c>
      <c r="C2" s="8" t="inlineStr">
        <is>
          <t>ANALYTIC_MODEL</t>
        </is>
      </c>
      <c r="D2" s="8" t="inlineStr">
        <is>
          <t>PUBLIC</t>
        </is>
      </c>
      <c r="E2" s="8" t="inlineStr">
        <is>
          <t>cspc.spacetime.energy_audit</t>
        </is>
      </c>
      <c r="F2" s="8" t="inlineStr">
        <is>
          <t>100 W for 3600 s</t>
        </is>
      </c>
      <c r="G2" s="8" t="n">
        <v>360000</v>
      </c>
      <c r="H2" s="8" t="n">
        <v>4.005540201793026e-12</v>
      </c>
      <c r="I2" s="8" t="n">
        <v>5.949156700582587e-39</v>
      </c>
      <c r="J2" s="8" t="n">
        <v>23.2</v>
      </c>
      <c r="K2" s="8" t="inlineStr">
        <is>
          <t>NEGLIGIBLE</t>
        </is>
      </c>
    </row>
    <row r="3">
      <c r="A3" s="13" t="inlineStr">
        <is>
          <t>TRV-001</t>
        </is>
      </c>
      <c r="B3" s="13" t="inlineStr">
        <is>
          <t>travel_claim</t>
        </is>
      </c>
      <c r="C3" s="13" t="inlineStr">
        <is>
          <t>UNSUPPORTED</t>
        </is>
      </c>
      <c r="D3" s="13" t="inlineStr">
        <is>
          <t>PUBLIC</t>
        </is>
      </c>
      <c r="E3" s="13" t="inlineStr">
        <is>
          <t>cspc.spacetime.TRAVEL_CLAIMS</t>
        </is>
      </c>
      <c r="F3" s="13" t="n"/>
      <c r="G3" s="13" t="n"/>
      <c r="H3" s="13" t="n"/>
      <c r="I3" s="13" t="n"/>
      <c r="J3" s="13" t="n"/>
      <c r="K3" s="13" t="n"/>
    </row>
    <row r="4">
      <c r="A4" s="13" t="inlineStr">
        <is>
          <t>TRV-002</t>
        </is>
      </c>
      <c r="B4" s="13" t="inlineStr">
        <is>
          <t>travel_claim</t>
        </is>
      </c>
      <c r="C4" s="13" t="inlineStr">
        <is>
          <t>UNSUPPORTED</t>
        </is>
      </c>
      <c r="D4" s="13" t="inlineStr">
        <is>
          <t>PUBLIC</t>
        </is>
      </c>
      <c r="E4" s="13" t="inlineStr">
        <is>
          <t>cspc.spacetime.TRAVEL_CLAIMS</t>
        </is>
      </c>
      <c r="F4" s="13" t="n"/>
      <c r="G4" s="13" t="n"/>
      <c r="H4" s="13" t="n"/>
      <c r="I4" s="13" t="n"/>
      <c r="J4" s="13" t="n"/>
      <c r="K4" s="13" t="n"/>
    </row>
    <row r="5">
      <c r="A5" s="13" t="inlineStr">
        <is>
          <t>TRV-003</t>
        </is>
      </c>
      <c r="B5" s="13" t="inlineStr">
        <is>
          <t>travel_claim</t>
        </is>
      </c>
      <c r="C5" s="13" t="inlineStr">
        <is>
          <t>UNSUPPORTED</t>
        </is>
      </c>
      <c r="D5" s="13" t="inlineStr">
        <is>
          <t>PUBLIC</t>
        </is>
      </c>
      <c r="E5" s="13" t="inlineStr">
        <is>
          <t>cspc.spacetime.TRAVEL_CLAIMS</t>
        </is>
      </c>
      <c r="F5" s="13" t="n"/>
      <c r="G5" s="13" t="n"/>
      <c r="H5" s="13" t="n"/>
      <c r="I5" s="13" t="n"/>
      <c r="J5" s="13" t="n"/>
      <c r="K5" s="13" t="n"/>
    </row>
    <row r="6">
      <c r="A6" s="13" t="inlineStr">
        <is>
          <t>TRV-004</t>
        </is>
      </c>
      <c r="B6" s="13" t="inlineStr">
        <is>
          <t>travel_claim</t>
        </is>
      </c>
      <c r="C6" s="13" t="inlineStr">
        <is>
          <t>UNSUPPORTED</t>
        </is>
      </c>
      <c r="D6" s="13" t="inlineStr">
        <is>
          <t>PUBLIC</t>
        </is>
      </c>
      <c r="E6" s="13" t="inlineStr">
        <is>
          <t>cspc.spacetime.TRAVEL_CLAIMS</t>
        </is>
      </c>
      <c r="F6" s="13" t="n"/>
      <c r="G6" s="13" t="n"/>
      <c r="H6" s="13" t="n"/>
      <c r="I6" s="13" t="n"/>
      <c r="J6" s="13" t="n"/>
      <c r="K6" s="13" t="n"/>
    </row>
    <row r="7">
      <c r="A7" s="13" t="inlineStr">
        <is>
          <t>TRV-005</t>
        </is>
      </c>
      <c r="B7" s="13" t="inlineStr">
        <is>
          <t>travel_claim</t>
        </is>
      </c>
      <c r="C7" s="13" t="inlineStr">
        <is>
          <t>UNSUPPORTED</t>
        </is>
      </c>
      <c r="D7" s="13" t="inlineStr">
        <is>
          <t>PUBLIC</t>
        </is>
      </c>
      <c r="E7" s="13" t="inlineStr">
        <is>
          <t>cspc.spacetime.TRAVEL_CLAIMS</t>
        </is>
      </c>
      <c r="F7" s="13" t="n"/>
      <c r="G7" s="13" t="n"/>
      <c r="H7" s="13" t="n"/>
      <c r="I7" s="13" t="n"/>
      <c r="J7" s="13" t="n"/>
      <c r="K7" s="13" t="n"/>
    </row>
  </sheetData>
  <pageMargins left="0.75" right="0.75" top="1" bottom="1" header="0.5" footer="0.5"/>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L3"/>
  <sheetViews>
    <sheetView workbookViewId="0">
      <pane ySplit="1" topLeftCell="A2" activePane="bottomLeft" state="frozen"/>
      <selection pane="bottomLeft" activeCell="A1" sqref="A1"/>
    </sheetView>
  </sheetViews>
  <sheetFormatPr baseColWidth="8" defaultRowHeight="15"/>
  <cols>
    <col width="18" customWidth="1" min="1" max="1"/>
    <col width="17" customWidth="1" min="2" max="2"/>
    <col width="16" customWidth="1" min="3" max="3"/>
    <col width="15" customWidth="1" min="4" max="4"/>
    <col width="18" customWidth="1" min="5" max="5"/>
    <col width="60" customWidth="1" min="6" max="6"/>
    <col width="12" customWidth="1" min="7" max="7"/>
    <col width="17" customWidth="1" min="8" max="8"/>
    <col width="60" customWidth="1" min="9" max="9"/>
    <col width="60" customWidth="1" min="10" max="10"/>
    <col width="18" customWidth="1" min="11" max="11"/>
    <col width="19" customWidth="1" min="12" max="12"/>
  </cols>
  <sheetData>
    <row r="1">
      <c r="A1" s="24" t="inlineStr">
        <is>
          <t>id</t>
        </is>
      </c>
      <c r="B1" s="24" t="inlineStr">
        <is>
          <t>kind</t>
        </is>
      </c>
      <c r="C1" s="24" t="inlineStr">
        <is>
          <t>evidence_class</t>
        </is>
      </c>
      <c r="D1" s="24" t="inlineStr">
        <is>
          <t>privacy_class</t>
        </is>
      </c>
      <c r="E1" s="24" t="inlineStr">
        <is>
          <t>provenance</t>
        </is>
      </c>
      <c r="F1" s="24" t="inlineStr">
        <is>
          <t>question</t>
        </is>
      </c>
      <c r="G1" s="24" t="inlineStr">
        <is>
          <t>n_controls</t>
        </is>
      </c>
      <c r="H1" s="24" t="inlineStr">
        <is>
          <t>n_per_condition</t>
        </is>
      </c>
      <c r="I1" s="24" t="inlineStr">
        <is>
          <t>blinding</t>
        </is>
      </c>
      <c r="J1" s="24" t="inlineStr">
        <is>
          <t>stopping_rule</t>
        </is>
      </c>
      <c r="K1" s="24" t="inlineStr">
        <is>
          <t>apparatus_status</t>
        </is>
      </c>
      <c r="L1" s="24" t="inlineStr">
        <is>
          <t>data_status</t>
        </is>
      </c>
    </row>
    <row r="2">
      <c r="A2" s="8" t="inlineStr">
        <is>
          <t>CSPC-EXP-FOLD-18</t>
        </is>
      </c>
      <c r="B2" s="8" t="inlineStr">
        <is>
          <t>preregistration</t>
        </is>
      </c>
      <c r="C2" s="8" t="inlineStr">
        <is>
          <t>ANALYTIC_MODEL</t>
        </is>
      </c>
      <c r="D2" s="8" t="inlineStr">
        <is>
          <t>PUBLIC</t>
        </is>
      </c>
      <c r="E2" s="8" t="inlineStr">
        <is>
          <t>cspc.experiments</t>
        </is>
      </c>
      <c r="F2" s="8" t="inlineStr">
        <is>
          <t>Does the specimen show a response at 18.25392246246337890625 Hz that it does not show at power-matched neighbouring frequencies?</t>
        </is>
      </c>
      <c r="G2" s="8" t="n">
        <v>6</v>
      </c>
      <c r="H2" s="8" t="n">
        <v>20</v>
      </c>
      <c r="I2" s="8" t="inlineStr">
        <is>
          <t>the operator and the analyst are blind to which frequency is driven; the mapping is sealed until analysis is complete</t>
        </is>
      </c>
      <c r="J2" s="8" t="inlineStr">
        <is>
          <t>fixed N of 20 blocks per condition; no interim peeking, no extension on a promising trend</t>
        </is>
      </c>
      <c r="K2" s="8" t="inlineStr">
        <is>
          <t>NOT BUILT</t>
        </is>
      </c>
      <c r="L2" s="8" t="inlineStr">
        <is>
          <t>NO DATA COLLECTED</t>
        </is>
      </c>
    </row>
    <row r="3">
      <c r="A3" s="8" t="inlineStr">
        <is>
          <t>CSPC-EXP-OPT-532</t>
        </is>
      </c>
      <c r="B3" s="8" t="inlineStr">
        <is>
          <t>preregistration</t>
        </is>
      </c>
      <c r="C3" s="8" t="inlineStr">
        <is>
          <t>ANALYTIC_MODEL</t>
        </is>
      </c>
      <c r="D3" s="8" t="inlineStr">
        <is>
          <t>PUBLIC</t>
        </is>
      </c>
      <c r="E3" s="8" t="inlineStr">
        <is>
          <t>cspc.experiments</t>
        </is>
      </c>
      <c r="F3" s="8" t="inlineStr">
        <is>
          <t>Does illumination near 532.538 nm produce a specimen response beyond power, absorption, thermal and ordinary optomechanical effects?</t>
        </is>
      </c>
      <c r="G3" s="8" t="n">
        <v>1</v>
      </c>
      <c r="H3" s="8" t="n">
        <v>20</v>
      </c>
      <c r="I3" s="8" t="inlineStr">
        <is>
          <t>analyst blind to condition labels</t>
        </is>
      </c>
      <c r="J3" s="8" t="inlineStr">
        <is>
          <t>fixed N; no extension</t>
        </is>
      </c>
      <c r="K3" s="8" t="inlineStr">
        <is>
          <t>NOT BUILT</t>
        </is>
      </c>
      <c r="L3" s="8" t="inlineStr">
        <is>
          <t>NO DATA COLLECTED</t>
        </is>
      </c>
    </row>
  </sheetData>
  <pageMargins left="0.75" right="0.75" top="1" bottom="1" header="0.5" footer="0.5"/>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H5"/>
  <sheetViews>
    <sheetView workbookViewId="0">
      <pane ySplit="1" topLeftCell="A2" activePane="bottomLeft" state="frozen"/>
      <selection pane="bottomLeft" activeCell="A1" sqref="A1"/>
    </sheetView>
  </sheetViews>
  <sheetFormatPr baseColWidth="8" defaultRowHeight="15"/>
  <cols>
    <col width="20" customWidth="1" min="1" max="1"/>
    <col width="19" customWidth="1" min="2" max="2"/>
    <col width="20" customWidth="1" min="3" max="3"/>
    <col width="15" customWidth="1" min="4" max="4"/>
    <col width="39" customWidth="1" min="5" max="5"/>
    <col width="18" customWidth="1" min="6" max="6"/>
    <col width="20" customWidth="1" min="7" max="7"/>
    <col width="60" customWidth="1" min="8" max="8"/>
  </cols>
  <sheetData>
    <row r="1">
      <c r="A1" s="24" t="inlineStr">
        <is>
          <t>id</t>
        </is>
      </c>
      <c r="B1" s="24" t="inlineStr">
        <is>
          <t>kind</t>
        </is>
      </c>
      <c r="C1" s="24" t="inlineStr">
        <is>
          <t>evidence_class</t>
        </is>
      </c>
      <c r="D1" s="24" t="inlineStr">
        <is>
          <t>privacy_class</t>
        </is>
      </c>
      <c r="E1" s="24" t="inlineStr">
        <is>
          <t>provenance</t>
        </is>
      </c>
      <c r="F1" s="24" t="inlineStr">
        <is>
          <t>closure_window_s</t>
        </is>
      </c>
      <c r="G1" s="24" t="inlineStr">
        <is>
          <t>aliases_per_second</t>
        </is>
      </c>
      <c r="H1" s="24" t="inlineStr">
        <is>
          <t>statement</t>
        </is>
      </c>
    </row>
    <row r="2">
      <c r="A2" s="7" t="inlineStr">
        <is>
          <t>PMWR-CLOSURE-ALIAS</t>
        </is>
      </c>
      <c r="B2" s="7" t="inlineStr">
        <is>
          <t>ambiguity</t>
        </is>
      </c>
      <c r="C2" s="7" t="inlineStr">
        <is>
          <t>DERIVED_ARITHMETIC</t>
        </is>
      </c>
      <c r="D2" s="7" t="inlineStr">
        <is>
          <t>PUBLIC</t>
        </is>
      </c>
      <c r="E2" s="7" t="inlineStr">
        <is>
          <t>pmwr.recovery.closure_delay_ambiguity</t>
        </is>
      </c>
      <c r="F2" s="7" t="n">
        <v>0.000244140625</v>
      </c>
      <c r="G2" s="7" t="n">
        <v>4097</v>
      </c>
      <c r="H2" s="7" t="inlineStr">
        <is>
          <t>delays tau and tau + k*W are indistinguishable for every tone in this family; exact closure IS the alias (firewall CLOSURE_REMOVES_AMBIGUITY)</t>
        </is>
      </c>
    </row>
    <row r="3">
      <c r="A3" s="7" t="inlineStr">
        <is>
          <t>PMWR-DUAL-LATTICE</t>
        </is>
      </c>
      <c r="B3" s="7" t="inlineStr">
        <is>
          <t>probe_design</t>
        </is>
      </c>
      <c r="C3" s="7" t="inlineStr">
        <is>
          <t>DERIVED_ARITHMETIC</t>
        </is>
      </c>
      <c r="D3" s="7" t="inlineStr">
        <is>
          <t>PUBLIC</t>
        </is>
      </c>
      <c r="E3" s="7" t="inlineStr">
        <is>
          <t>pmwr.recovery.dual_lattice_probe</t>
        </is>
      </c>
      <c r="F3" s="7" t="n"/>
      <c r="G3" s="7" t="n"/>
      <c r="H3" s="7" t="n"/>
    </row>
    <row r="4">
      <c r="A4" s="8" t="inlineStr">
        <is>
          <t>PMWR-TWO-GEODESIC</t>
        </is>
      </c>
      <c r="B4" s="8" t="inlineStr">
        <is>
          <t>worldline_channel</t>
        </is>
      </c>
      <c r="C4" s="8" t="inlineStr">
        <is>
          <t>ANALYTIC_MODEL</t>
        </is>
      </c>
      <c r="D4" s="8" t="inlineStr">
        <is>
          <t>PUBLIC</t>
        </is>
      </c>
      <c r="E4" s="8" t="inlineStr">
        <is>
          <t>pmwr.worldline.two_geodesic_case</t>
        </is>
      </c>
      <c r="F4" s="8" t="n"/>
      <c r="G4" s="8" t="n"/>
      <c r="H4" s="8" t="n"/>
    </row>
    <row r="5">
      <c r="A5" s="7" t="inlineStr">
        <is>
          <t>PMWR-NOVELTY</t>
        </is>
      </c>
      <c r="B5" s="7" t="inlineStr">
        <is>
          <t>novelty_boundary</t>
        </is>
      </c>
      <c r="C5" s="7" t="inlineStr">
        <is>
          <t>DERIVED_ARITHMETIC</t>
        </is>
      </c>
      <c r="D5" s="7" t="inlineStr">
        <is>
          <t>PUBLIC</t>
        </is>
      </c>
      <c r="E5" s="7" t="inlineStr">
        <is>
          <t>pmwr.ingest.NOVELTY_BOUNDARY</t>
        </is>
      </c>
      <c r="F5" s="7" t="n"/>
      <c r="G5" s="7" t="n"/>
      <c r="H5" s="7" t="n"/>
    </row>
  </sheetData>
  <pageMargins left="0.75" right="0.75" top="1" bottom="1" header="0.5" footer="0.5"/>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sheetPr>
  <dimension ref="A1:J8"/>
  <sheetViews>
    <sheetView workbookViewId="0">
      <pane ySplit="1" topLeftCell="A2" activePane="bottomLeft" state="frozen"/>
      <selection pane="bottomLeft" activeCell="A1" sqref="A1"/>
    </sheetView>
  </sheetViews>
  <sheetFormatPr baseColWidth="8" defaultRowHeight="15"/>
  <cols>
    <col width="29" customWidth="1" min="1" max="1"/>
    <col width="20" customWidth="1" min="2" max="2"/>
    <col width="19" customWidth="1" min="3" max="3"/>
    <col width="15" customWidth="1" min="4" max="4"/>
    <col width="34" customWidth="1" min="5" max="5"/>
    <col width="19" customWidth="1" min="6" max="6"/>
    <col width="18" customWidth="1" min="7" max="7"/>
    <col width="23" customWidth="1" min="8" max="8"/>
    <col width="25" customWidth="1" min="9" max="9"/>
    <col width="17" customWidth="1" min="10" max="10"/>
  </cols>
  <sheetData>
    <row r="1">
      <c r="A1" s="24" t="inlineStr">
        <is>
          <t>id</t>
        </is>
      </c>
      <c r="B1" s="24" t="inlineStr">
        <is>
          <t>kind</t>
        </is>
      </c>
      <c r="C1" s="24" t="inlineStr">
        <is>
          <t>evidence_class</t>
        </is>
      </c>
      <c r="D1" s="24" t="inlineStr">
        <is>
          <t>privacy_class</t>
        </is>
      </c>
      <c r="E1" s="24" t="inlineStr">
        <is>
          <t>provenance</t>
        </is>
      </c>
      <c r="F1" s="24" t="inlineStr">
        <is>
          <t>theta_deg</t>
        </is>
      </c>
      <c r="G1" s="24" t="inlineStr">
        <is>
          <t>h_over_half_base</t>
        </is>
      </c>
      <c r="H1" s="24" t="inlineStr">
        <is>
          <t>full_base_over_height</t>
        </is>
      </c>
      <c r="I1" s="24" t="inlineStr">
        <is>
          <t>abs_diff_from_pi_over_2</t>
        </is>
      </c>
      <c r="J1" s="24" t="inlineStr">
        <is>
          <t>mechanism_claim</t>
        </is>
      </c>
    </row>
    <row r="2">
      <c r="A2" s="16" t="inlineStr">
        <is>
          <t>ANGLE-360_over_7</t>
        </is>
      </c>
      <c r="B2" s="16" t="inlineStr">
        <is>
          <t>geometry_candidate</t>
        </is>
      </c>
      <c r="C2" s="16" t="inlineStr">
        <is>
          <t>GEOMETRY_IDENTITY</t>
        </is>
      </c>
      <c r="D2" s="16" t="inlineStr">
        <is>
          <t>PUBLIC</t>
        </is>
      </c>
      <c r="E2" s="16" t="inlineStr">
        <is>
          <t>pmwr.crystal.pyramid_ratio_audit</t>
        </is>
      </c>
      <c r="F2" s="16" t="n">
        <v>51.42857142857143</v>
      </c>
      <c r="G2" s="16" t="n">
        <v>1.253960337663</v>
      </c>
      <c r="H2" s="16" t="n">
        <v>1.594946777765</v>
      </c>
      <c r="I2" s="16" t="n">
        <v>0.024150451</v>
      </c>
      <c r="J2" s="16" t="inlineStr">
        <is>
          <t>REFUSED</t>
        </is>
      </c>
    </row>
    <row r="3">
      <c r="A3" s="16" t="inlineStr">
        <is>
          <t>ANGLE-51_843</t>
        </is>
      </c>
      <c r="B3" s="16" t="inlineStr">
        <is>
          <t>geometry_candidate</t>
        </is>
      </c>
      <c r="C3" s="16" t="inlineStr">
        <is>
          <t>GEOMETRY_IDENTITY</t>
        </is>
      </c>
      <c r="D3" s="16" t="inlineStr">
        <is>
          <t>PUBLIC</t>
        </is>
      </c>
      <c r="E3" s="16" t="inlineStr">
        <is>
          <t>pmwr.crystal.pyramid_ratio_audit</t>
        </is>
      </c>
      <c r="F3" s="16" t="n">
        <v>51.843</v>
      </c>
      <c r="G3" s="16" t="n">
        <v>1.272737633428</v>
      </c>
      <c r="H3" s="16" t="n">
        <v>1.571415779239</v>
      </c>
      <c r="I3" s="16" t="n">
        <v>0.000619452</v>
      </c>
      <c r="J3" s="16" t="inlineStr">
        <is>
          <t>REFUSED</t>
        </is>
      </c>
    </row>
    <row r="4">
      <c r="A4" s="16" t="inlineStr">
        <is>
          <t>ANGLE-51_51_51_DMS</t>
        </is>
      </c>
      <c r="B4" s="16" t="inlineStr">
        <is>
          <t>geometry_candidate</t>
        </is>
      </c>
      <c r="C4" s="16" t="inlineStr">
        <is>
          <t>GEOMETRY_IDENTITY</t>
        </is>
      </c>
      <c r="D4" s="16" t="inlineStr">
        <is>
          <t>PUBLIC</t>
        </is>
      </c>
      <c r="E4" s="16" t="inlineStr">
        <is>
          <t>pmwr.crystal.pyramid_ratio_audit</t>
        </is>
      </c>
      <c r="F4" s="16" t="n">
        <v>51.86416666666667</v>
      </c>
      <c r="G4" s="16" t="n">
        <v>1.273705938861</v>
      </c>
      <c r="H4" s="16" t="n">
        <v>1.570221146797</v>
      </c>
      <c r="I4" s="16" t="n">
        <v>0.00057518</v>
      </c>
      <c r="J4" s="16" t="inlineStr">
        <is>
          <t>REFUSED</t>
        </is>
      </c>
    </row>
    <row r="5">
      <c r="A5" s="16" t="inlineStr">
        <is>
          <t>ANGLE-Great_Pyramid_nominal</t>
        </is>
      </c>
      <c r="B5" s="16" t="inlineStr">
        <is>
          <t>geometry_candidate</t>
        </is>
      </c>
      <c r="C5" s="16" t="inlineStr">
        <is>
          <t>GEOMETRY_IDENTITY</t>
        </is>
      </c>
      <c r="D5" s="16" t="inlineStr">
        <is>
          <t>PUBLIC</t>
        </is>
      </c>
      <c r="E5" s="16" t="inlineStr">
        <is>
          <t>pmwr.crystal.pyramid_ratio_audit</t>
        </is>
      </c>
      <c r="F5" s="16" t="n">
        <v>51.84</v>
      </c>
      <c r="G5" s="16" t="n">
        <v>1.272600466963</v>
      </c>
      <c r="H5" s="16" t="n">
        <v>1.57158515333</v>
      </c>
      <c r="I5" s="16" t="n">
        <v>0.000788827</v>
      </c>
      <c r="J5" s="16" t="inlineStr">
        <is>
          <t>REFUSED</t>
        </is>
      </c>
    </row>
    <row r="6">
      <c r="A6" s="16" t="inlineStr">
        <is>
          <t>ANGLE-rounded_52</t>
        </is>
      </c>
      <c r="B6" s="16" t="inlineStr">
        <is>
          <t>geometry_candidate</t>
        </is>
      </c>
      <c r="C6" s="16" t="inlineStr">
        <is>
          <t>GEOMETRY_IDENTITY</t>
        </is>
      </c>
      <c r="D6" s="16" t="inlineStr">
        <is>
          <t>PUBLIC</t>
        </is>
      </c>
      <c r="E6" s="16" t="inlineStr">
        <is>
          <t>pmwr.crystal.pyramid_ratio_audit</t>
        </is>
      </c>
      <c r="F6" s="16" t="n">
        <v>52</v>
      </c>
      <c r="G6" s="16" t="n">
        <v>1.279941632193</v>
      </c>
      <c r="H6" s="16" t="n">
        <v>1.562571253013</v>
      </c>
      <c r="I6" s="16" t="n">
        <v>0.008225074000000001</v>
      </c>
      <c r="J6" s="16" t="inlineStr">
        <is>
          <t>REFUSED</t>
        </is>
      </c>
    </row>
    <row r="7">
      <c r="A7" s="16" t="inlineStr">
        <is>
          <t>ANGLE-emitter_58</t>
        </is>
      </c>
      <c r="B7" s="16" t="inlineStr">
        <is>
          <t>geometry_candidate</t>
        </is>
      </c>
      <c r="C7" s="16" t="inlineStr">
        <is>
          <t>GEOMETRY_IDENTITY</t>
        </is>
      </c>
      <c r="D7" s="16" t="inlineStr">
        <is>
          <t>PUBLIC</t>
        </is>
      </c>
      <c r="E7" s="16" t="inlineStr">
        <is>
          <t>pmwr.crystal.pyramid_ratio_audit</t>
        </is>
      </c>
      <c r="F7" s="16" t="n">
        <v>58</v>
      </c>
      <c r="G7" s="16" t="n">
        <v>1.600334529041</v>
      </c>
      <c r="H7" s="16" t="n">
        <v>1.249738703819</v>
      </c>
      <c r="I7" s="16" t="n">
        <v>0.321057623</v>
      </c>
      <c r="J7" s="16" t="inlineStr">
        <is>
          <t>REFUSED</t>
        </is>
      </c>
    </row>
    <row r="8">
      <c r="A8" s="16" t="inlineStr">
        <is>
          <t>ANGLE-emitter_60</t>
        </is>
      </c>
      <c r="B8" s="16" t="inlineStr">
        <is>
          <t>geometry_candidate</t>
        </is>
      </c>
      <c r="C8" s="16" t="inlineStr">
        <is>
          <t>GEOMETRY_IDENTITY</t>
        </is>
      </c>
      <c r="D8" s="16" t="inlineStr">
        <is>
          <t>PUBLIC</t>
        </is>
      </c>
      <c r="E8" s="16" t="inlineStr">
        <is>
          <t>pmwr.crystal.pyramid_ratio_audit</t>
        </is>
      </c>
      <c r="F8" s="16" t="n">
        <v>60</v>
      </c>
      <c r="G8" s="16" t="n">
        <v>1.732050807569</v>
      </c>
      <c r="H8" s="16" t="n">
        <v>1.154700538379</v>
      </c>
      <c r="I8" s="16" t="n">
        <v>0.416095788</v>
      </c>
      <c r="J8" s="16" t="inlineStr">
        <is>
          <t>REFUSED</t>
        </is>
      </c>
    </row>
  </sheetData>
  <pageMargins left="0.75" right="0.75" top="1" bottom="1" header="0.5" footer="0.5"/>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sheetPr>
  <dimension ref="A1:I15"/>
  <sheetViews>
    <sheetView workbookViewId="0">
      <pane ySplit="1" topLeftCell="A2" activePane="bottomLeft" state="frozen"/>
      <selection pane="bottomLeft" activeCell="A1" sqref="A1"/>
    </sheetView>
  </sheetViews>
  <sheetFormatPr baseColWidth="8" defaultRowHeight="15"/>
  <cols>
    <col width="38" customWidth="1" min="1" max="1"/>
    <col width="23" customWidth="1" min="2" max="2"/>
    <col width="20" customWidth="1" min="3" max="3"/>
    <col width="15" customWidth="1" min="4" max="4"/>
    <col width="44" customWidth="1" min="5" max="5"/>
    <col width="60" customWidth="1" min="6" max="6"/>
    <col width="23" customWidth="1" min="7" max="7"/>
    <col width="60" customWidth="1" min="8" max="8"/>
    <col width="22" customWidth="1" min="9" max="9"/>
  </cols>
  <sheetData>
    <row r="1">
      <c r="A1" s="24" t="inlineStr">
        <is>
          <t>id</t>
        </is>
      </c>
      <c r="B1" s="24" t="inlineStr">
        <is>
          <t>kind</t>
        </is>
      </c>
      <c r="C1" s="24" t="inlineStr">
        <is>
          <t>evidence_class</t>
        </is>
      </c>
      <c r="D1" s="24" t="inlineStr">
        <is>
          <t>privacy_class</t>
        </is>
      </c>
      <c r="E1" s="24" t="inlineStr">
        <is>
          <t>provenance</t>
        </is>
      </c>
      <c r="F1" s="24" t="inlineStr">
        <is>
          <t>ladder</t>
        </is>
      </c>
      <c r="G1" s="24" t="inlineStr">
        <is>
          <t>detected_state_exists</t>
        </is>
      </c>
      <c r="H1" s="24" t="inlineStr">
        <is>
          <t>operator_note_sha256</t>
        </is>
      </c>
      <c r="I1" s="24" t="inlineStr">
        <is>
          <t>note_status</t>
        </is>
      </c>
    </row>
    <row r="2">
      <c r="A2" s="6" t="inlineStr">
        <is>
          <t>PHRYLL-OPERATIONALIZATION</t>
        </is>
      </c>
      <c r="B2" s="6" t="inlineStr">
        <is>
          <t>latent_definition</t>
        </is>
      </c>
      <c r="C2" s="6" t="inlineStr">
        <is>
          <t>SOURCE_CLAIM</t>
        </is>
      </c>
      <c r="D2" s="6" t="inlineStr">
        <is>
          <t>PUBLIC</t>
        </is>
      </c>
      <c r="E2" s="6" t="inlineStr">
        <is>
          <t>pack core/06; pmwr.crystal.PROMOTION_GATES</t>
        </is>
      </c>
      <c r="F2" s="6" t="inlineStr">
        <is>
          <t>SOURCE_CLAIM -&gt; OPERATIONAL_HYPOTHESIS -&gt; UNEXPLAINED_INSTRUMENT_RESIDUAL -&gt; REPLICATED_ANOMALY -&gt; CANDIDATE_NEW_MECHANISM</t>
        </is>
      </c>
      <c r="G2" s="6" t="b">
        <v>0</v>
      </c>
      <c r="H2" s="6" t="inlineStr">
        <is>
          <t>fff2f47e7c690eeda59fc6cc2d8e968d32a94f891155473aa65dbc592cb223d9</t>
        </is>
      </c>
      <c r="I2" s="6" t="inlineStr">
        <is>
          <t>LORE,HYPOTHESIS_SEED</t>
        </is>
      </c>
    </row>
    <row r="3">
      <c r="A3" s="7" t="inlineStr">
        <is>
          <t>FIREWALL-PERFECT_ABSOLUTE_PHASE</t>
        </is>
      </c>
      <c r="B3" s="7" t="inlineStr">
        <is>
          <t>firewall</t>
        </is>
      </c>
      <c r="C3" s="7" t="inlineStr">
        <is>
          <t>DERIVED_ARITHMETIC</t>
        </is>
      </c>
      <c r="D3" s="7" t="inlineStr">
        <is>
          <t>PUBLIC</t>
        </is>
      </c>
      <c r="E3" s="7" t="inlineStr">
        <is>
          <t>pmwr.FIREWALLS</t>
        </is>
      </c>
      <c r="F3" s="7" t="n"/>
      <c r="G3" s="7" t="n"/>
      <c r="H3" s="7" t="n"/>
      <c r="I3" s="7" t="n"/>
    </row>
    <row r="4">
      <c r="A4" s="7" t="inlineStr">
        <is>
          <t>FIREWALL-ENVIRONMENTAL_IMMUNITY</t>
        </is>
      </c>
      <c r="B4" s="7" t="inlineStr">
        <is>
          <t>firewall</t>
        </is>
      </c>
      <c r="C4" s="7" t="inlineStr">
        <is>
          <t>DERIVED_ARITHMETIC</t>
        </is>
      </c>
      <c r="D4" s="7" t="inlineStr">
        <is>
          <t>PUBLIC</t>
        </is>
      </c>
      <c r="E4" s="7" t="inlineStr">
        <is>
          <t>pmwr.FIREWALLS</t>
        </is>
      </c>
      <c r="F4" s="7" t="n"/>
      <c r="G4" s="7" t="n"/>
      <c r="H4" s="7" t="n"/>
      <c r="I4" s="7" t="n"/>
    </row>
    <row r="5">
      <c r="A5" s="7" t="inlineStr">
        <is>
          <t>FIREWALL-ONE_RESIDUAL_ONE_PATH</t>
        </is>
      </c>
      <c r="B5" s="7" t="inlineStr">
        <is>
          <t>firewall</t>
        </is>
      </c>
      <c r="C5" s="7" t="inlineStr">
        <is>
          <t>DERIVED_ARITHMETIC</t>
        </is>
      </c>
      <c r="D5" s="7" t="inlineStr">
        <is>
          <t>PUBLIC</t>
        </is>
      </c>
      <c r="E5" s="7" t="inlineStr">
        <is>
          <t>pmwr.FIREWALLS</t>
        </is>
      </c>
      <c r="F5" s="7" t="n"/>
      <c r="G5" s="7" t="n"/>
      <c r="H5" s="7" t="n"/>
      <c r="I5" s="7" t="n"/>
    </row>
    <row r="6">
      <c r="A6" s="7" t="inlineStr">
        <is>
          <t>FIREWALL-CLOSURE_REMOVES_AMBIGUITY</t>
        </is>
      </c>
      <c r="B6" s="7" t="inlineStr">
        <is>
          <t>firewall</t>
        </is>
      </c>
      <c r="C6" s="7" t="inlineStr">
        <is>
          <t>DERIVED_ARITHMETIC</t>
        </is>
      </c>
      <c r="D6" s="7" t="inlineStr">
        <is>
          <t>PUBLIC</t>
        </is>
      </c>
      <c r="E6" s="7" t="inlineStr">
        <is>
          <t>pmwr.FIREWALLS</t>
        </is>
      </c>
      <c r="F6" s="7" t="n"/>
      <c r="G6" s="7" t="n"/>
      <c r="H6" s="7" t="n"/>
      <c r="I6" s="7" t="n"/>
    </row>
    <row r="7">
      <c r="A7" s="7" t="inlineStr">
        <is>
          <t>FIREWALL-4096_PRIVILEGED</t>
        </is>
      </c>
      <c r="B7" s="7" t="inlineStr">
        <is>
          <t>firewall</t>
        </is>
      </c>
      <c r="C7" s="7" t="inlineStr">
        <is>
          <t>DERIVED_ARITHMETIC</t>
        </is>
      </c>
      <c r="D7" s="7" t="inlineStr">
        <is>
          <t>PUBLIC</t>
        </is>
      </c>
      <c r="E7" s="7" t="inlineStr">
        <is>
          <t>pmwr.FIREWALLS</t>
        </is>
      </c>
      <c r="F7" s="7" t="n"/>
      <c r="G7" s="7" t="n"/>
      <c r="H7" s="7" t="n"/>
      <c r="I7" s="7" t="n"/>
    </row>
    <row r="8">
      <c r="A8" s="7" t="inlineStr">
        <is>
          <t>FIREWALL-PYRAMID_PROVES_MECHANISM</t>
        </is>
      </c>
      <c r="B8" s="7" t="inlineStr">
        <is>
          <t>firewall</t>
        </is>
      </c>
      <c r="C8" s="7" t="inlineStr">
        <is>
          <t>DERIVED_ARITHMETIC</t>
        </is>
      </c>
      <c r="D8" s="7" t="inlineStr">
        <is>
          <t>PUBLIC</t>
        </is>
      </c>
      <c r="E8" s="7" t="inlineStr">
        <is>
          <t>pmwr.FIREWALLS</t>
        </is>
      </c>
      <c r="F8" s="7" t="n"/>
      <c r="G8" s="7" t="n"/>
      <c r="H8" s="7" t="n"/>
      <c r="I8" s="7" t="n"/>
    </row>
    <row r="9">
      <c r="A9" s="7" t="inlineStr">
        <is>
          <t>FIREWALL-ANGLE_PROVES_DIRECTIONALITY</t>
        </is>
      </c>
      <c r="B9" s="7" t="inlineStr">
        <is>
          <t>firewall</t>
        </is>
      </c>
      <c r="C9" s="7" t="inlineStr">
        <is>
          <t>DERIVED_ARITHMETIC</t>
        </is>
      </c>
      <c r="D9" s="7" t="inlineStr">
        <is>
          <t>PUBLIC</t>
        </is>
      </c>
      <c r="E9" s="7" t="inlineStr">
        <is>
          <t>pmwr.FIREWALLS</t>
        </is>
      </c>
      <c r="F9" s="7" t="n"/>
      <c r="G9" s="7" t="n"/>
      <c r="H9" s="7" t="n"/>
      <c r="I9" s="7" t="n"/>
    </row>
    <row r="10">
      <c r="A10" s="7" t="inlineStr">
        <is>
          <t>FIREWALL-SENSOR_CHANGE_IS_PHRYLL</t>
        </is>
      </c>
      <c r="B10" s="7" t="inlineStr">
        <is>
          <t>firewall</t>
        </is>
      </c>
      <c r="C10" s="7" t="inlineStr">
        <is>
          <t>DERIVED_ARITHMETIC</t>
        </is>
      </c>
      <c r="D10" s="7" t="inlineStr">
        <is>
          <t>PUBLIC</t>
        </is>
      </c>
      <c r="E10" s="7" t="inlineStr">
        <is>
          <t>pmwr.FIREWALLS</t>
        </is>
      </c>
      <c r="F10" s="7" t="n"/>
      <c r="G10" s="7" t="n"/>
      <c r="H10" s="7" t="n"/>
      <c r="I10" s="7" t="n"/>
    </row>
    <row r="11">
      <c r="A11" s="7" t="inlineStr">
        <is>
          <t>FIREWALL-DEVICE_MIRACLES</t>
        </is>
      </c>
      <c r="B11" s="7" t="inlineStr">
        <is>
          <t>firewall</t>
        </is>
      </c>
      <c r="C11" s="7" t="inlineStr">
        <is>
          <t>DERIVED_ARITHMETIC</t>
        </is>
      </c>
      <c r="D11" s="7" t="inlineStr">
        <is>
          <t>PUBLIC</t>
        </is>
      </c>
      <c r="E11" s="7" t="inlineStr">
        <is>
          <t>pmwr.FIREWALLS</t>
        </is>
      </c>
      <c r="F11" s="7" t="n"/>
      <c r="G11" s="7" t="n"/>
      <c r="H11" s="7" t="n"/>
      <c r="I11" s="7" t="n"/>
    </row>
    <row r="12">
      <c r="A12" s="7" t="inlineStr">
        <is>
          <t>FIREWALL-REORDER_IS_REVERSAL</t>
        </is>
      </c>
      <c r="B12" s="7" t="inlineStr">
        <is>
          <t>firewall</t>
        </is>
      </c>
      <c r="C12" s="7" t="inlineStr">
        <is>
          <t>DERIVED_ARITHMETIC</t>
        </is>
      </c>
      <c r="D12" s="7" t="inlineStr">
        <is>
          <t>PUBLIC</t>
        </is>
      </c>
      <c r="E12" s="7" t="inlineStr">
        <is>
          <t>pmwr.FIREWALLS</t>
        </is>
      </c>
      <c r="F12" s="7" t="n"/>
      <c r="G12" s="7" t="n"/>
      <c r="H12" s="7" t="n"/>
      <c r="I12" s="7" t="n"/>
    </row>
    <row r="13">
      <c r="A13" s="8" t="inlineStr">
        <is>
          <t>PMWR-BENCH-DIRECTIONAL</t>
        </is>
      </c>
      <c r="B13" s="8" t="inlineStr">
        <is>
          <t>bench_preregistration</t>
        </is>
      </c>
      <c r="C13" s="8" t="inlineStr">
        <is>
          <t>ANALYTIC_MODEL</t>
        </is>
      </c>
      <c r="D13" s="8" t="inlineStr">
        <is>
          <t>PUBLIC</t>
        </is>
      </c>
      <c r="E13" s="8" t="inlineStr">
        <is>
          <t>pmwr.benches</t>
        </is>
      </c>
      <c r="F13" s="8" t="n"/>
      <c r="G13" s="8" t="n"/>
      <c r="H13" s="8" t="n"/>
      <c r="I13" s="8" t="n"/>
    </row>
    <row r="14">
      <c r="A14" s="8" t="inlineStr">
        <is>
          <t>PMWR-BENCH-SELFOSC</t>
        </is>
      </c>
      <c r="B14" s="8" t="inlineStr">
        <is>
          <t>bench_preregistration</t>
        </is>
      </c>
      <c r="C14" s="8" t="inlineStr">
        <is>
          <t>ANALYTIC_MODEL</t>
        </is>
      </c>
      <c r="D14" s="8" t="inlineStr">
        <is>
          <t>PUBLIC</t>
        </is>
      </c>
      <c r="E14" s="8" t="inlineStr">
        <is>
          <t>pmwr.benches</t>
        </is>
      </c>
      <c r="F14" s="8" t="n"/>
      <c r="G14" s="8" t="n"/>
      <c r="H14" s="8" t="n"/>
      <c r="I14" s="8" t="n"/>
    </row>
    <row r="15">
      <c r="A15" s="8" t="inlineStr">
        <is>
          <t>PMWR-BENCH-SHAM</t>
        </is>
      </c>
      <c r="B15" s="8" t="inlineStr">
        <is>
          <t>bench_preregistration</t>
        </is>
      </c>
      <c r="C15" s="8" t="inlineStr">
        <is>
          <t>ANALYTIC_MODEL</t>
        </is>
      </c>
      <c r="D15" s="8" t="inlineStr">
        <is>
          <t>PUBLIC</t>
        </is>
      </c>
      <c r="E15" s="8" t="inlineStr">
        <is>
          <t>pmwr.benches</t>
        </is>
      </c>
      <c r="F15" s="8" t="n"/>
      <c r="G15" s="8" t="n"/>
      <c r="H15" s="8" t="n"/>
      <c r="I15" s="8" t="n"/>
    </row>
  </sheetData>
  <pageMargins left="0.75" right="0.75" top="1" bottom="1" header="0.5" footer="0.5"/>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00" customWidth="1" min="1" max="1"/>
  </cols>
  <sheetData>
    <row r="1">
      <c r="A1" s="26" t="inlineStr">
        <is>
          <t>Workbook Guide</t>
        </is>
      </c>
    </row>
    <row r="2">
      <c r="A2" t="inlineStr"/>
    </row>
    <row r="3">
      <c r="A3" t="inlineStr">
        <is>
          <t>This workbook is generated ONE-WAY from the RGCS canonical data store. It is a formula-visible summary and an interoperability export — it is NOT the database.</t>
        </is>
      </c>
    </row>
    <row r="4">
      <c r="A4" t="inlineStr"/>
    </row>
    <row r="5">
      <c r="A5" t="inlineStr">
        <is>
          <t>Sheets:</t>
        </is>
      </c>
    </row>
    <row r="6">
      <c r="A6" t="inlineStr">
        <is>
          <t xml:space="preserve">  Dashboard        registry counts (SUM formula) + evidence legend + claim boundary</t>
        </is>
      </c>
    </row>
    <row r="7">
      <c r="A7" t="inlineStr">
        <is>
          <t xml:space="preserve">  Frequency Keys   the seed key registry with status/tags</t>
        </is>
      </c>
    </row>
    <row r="8">
      <c r="A8" t="inlineStr">
        <is>
          <t xml:space="preserve">  Harmonic Relations  every relation with its mechanism class (a 4096x5 harmonic is not an 8x2560 closure)</t>
        </is>
      </c>
    </row>
    <row r="9">
      <c r="A9" t="inlineStr">
        <is>
          <t xml:space="preserve">  Specimens        the PREARRIVAL eBay listing (seller geometry, UNMEASURED)</t>
        </is>
      </c>
    </row>
    <row r="10">
      <c r="A10" t="inlineStr">
        <is>
          <t xml:space="preserve">  Mode Estimates   1-D screening with the target error as a LIVE FORMULA</t>
        </is>
      </c>
    </row>
    <row r="11">
      <c r="A11" t="inlineStr">
        <is>
          <t xml:space="preserve">  Timing Recipes   drive families incl. controls</t>
        </is>
      </c>
    </row>
    <row r="12">
      <c r="A12" t="inlineStr">
        <is>
          <t xml:space="preserve">  Hypotheses       6 preregistered, all UNTESTED</t>
        </is>
      </c>
    </row>
    <row r="13">
      <c r="A13" t="inlineStr">
        <is>
          <t xml:space="preserve">  Evidence Ledger  every row's evidence + privacy class</t>
        </is>
      </c>
    </row>
    <row r="14">
      <c r="A14" t="inlineStr">
        <is>
          <t xml:space="preserve">  Eye Results      canonical v4.1 + v4.2.1 records (computational, idealized)</t>
        </is>
      </c>
    </row>
    <row r="15">
      <c r="A15" t="inlineStr">
        <is>
          <t xml:space="preserve">  Resonator Platform  the synthetic design-to-certificate campaign</t>
        </is>
      </c>
    </row>
    <row r="16">
      <c r="A16" t="inlineStr">
        <is>
          <t xml:space="preserve">  Hardware BOM     Gen-0 parts (NOT purchased) + CYD board profiles (candidate)</t>
        </is>
      </c>
    </row>
    <row r="17">
      <c r="A17" t="inlineStr">
        <is>
          <t xml:space="preserve">  Experiment Queue  8 campaigns, all hardware-required</t>
        </is>
      </c>
    </row>
    <row r="18">
      <c r="A18" t="inlineStr">
        <is>
          <t xml:space="preserve">  Corrections      preserved correction records</t>
        </is>
      </c>
    </row>
    <row r="19">
      <c r="A19" t="inlineStr">
        <is>
          <t xml:space="preserve">  Source Registry  5 papers with forbidden-transfer rules</t>
        </is>
      </c>
    </row>
    <row r="20">
      <c r="A20" t="inlineStr">
        <is>
          <t xml:space="preserve">  Lore Registry    the lore POLICY only (private content is local-only)</t>
        </is>
      </c>
    </row>
    <row r="21">
      <c r="A21" t="inlineStr">
        <is>
          <t xml:space="preserve">  Installer Metadata  release facts (unsigned, no telemetry)</t>
        </is>
      </c>
    </row>
    <row r="22">
      <c r="A22" t="inlineStr"/>
    </row>
    <row r="23">
      <c r="A23" t="inlineStr">
        <is>
          <t>Evidence classes never hide. Nothing physical is validated. The specimen is unmeasured. The Eye is a computation.</t>
        </is>
      </c>
    </row>
    <row r="24">
      <c r="A24" t="inlineStr"/>
    </row>
    <row r="25">
      <c r="A25" t="inlineStr">
        <is>
          <t>Regenerate: python -m rgcs_workbench.workbook &lt;out.xlsx&gt;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2026-07-18T11:48:35Z</dcterms:created>
  <dcterms:modified xsi:type="dcterms:W3CDTF">2026-07-18T11:48:35Z</dcterms:modified>
</cp:coreProperties>
</file>