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Override PartName="/xl/tables/table25.xml" ContentType="application/vnd.openxmlformats-officedocument.spreadsheetml.table+xml"/>
  <Override PartName="/xl/worksheets/sheet28.xml" ContentType="application/vnd.openxmlformats-officedocument.spreadsheetml.worksheet+xml"/>
  <Override PartName="/xl/tables/table26.xml" ContentType="application/vnd.openxmlformats-officedocument.spreadsheetml.table+xml"/>
  <Override PartName="/xl/worksheets/sheet29.xml" ContentType="application/vnd.openxmlformats-officedocument.spreadsheetml.worksheet+xml"/>
  <Override PartName="/xl/tables/table27.xml" ContentType="application/vnd.openxmlformats-officedocument.spreadsheetml.table+xml"/>
  <Override PartName="/xl/worksheets/sheet30.xml" ContentType="application/vnd.openxmlformats-officedocument.spreadsheetml.worksheet+xml"/>
  <Override PartName="/xl/tables/table28.xml" ContentType="application/vnd.openxmlformats-officedocument.spreadsheetml.table+xml"/>
  <Override PartName="/xl/worksheets/sheet31.xml" ContentType="application/vnd.openxmlformats-officedocument.spreadsheetml.worksheet+xml"/>
  <Override PartName="/xl/tables/table29.xml" ContentType="application/vnd.openxmlformats-officedocument.spreadsheetml.table+xml"/>
  <Override PartName="/xl/worksheets/sheet32.xml" ContentType="application/vnd.openxmlformats-officedocument.spreadsheetml.worksheet+xml"/>
  <Override PartName="/xl/tables/table30.xml" ContentType="application/vnd.openxmlformats-officedocument.spreadsheetml.table+xml"/>
  <Override PartName="/xl/worksheets/sheet33.xml" ContentType="application/vnd.openxmlformats-officedocument.spreadsheetml.worksheet+xml"/>
  <Override PartName="/xl/tables/table31.xml" ContentType="application/vnd.openxmlformats-officedocument.spreadsheetml.table+xml"/>
  <Override PartName="/xl/worksheets/sheet34.xml" ContentType="application/vnd.openxmlformats-officedocument.spreadsheetml.worksheet+xml"/>
  <Override PartName="/xl/tables/table32.xml" ContentType="application/vnd.openxmlformats-officedocument.spreadsheetml.table+xml"/>
  <Override PartName="/xl/worksheets/sheet35.xml" ContentType="application/vnd.openxmlformats-officedocument.spreadsheetml.worksheet+xml"/>
  <Override PartName="/xl/tables/table33.xml" ContentType="application/vnd.openxmlformats-officedocument.spreadsheetml.table+xml"/>
  <Override PartName="/xl/worksheets/sheet36.xml" ContentType="application/vnd.openxmlformats-officedocument.spreadsheetml.worksheet+xml"/>
  <Override PartName="/xl/tables/table34.xml" ContentType="application/vnd.openxmlformats-officedocument.spreadsheetml.table+xml"/>
  <Override PartName="/xl/worksheets/sheet37.xml" ContentType="application/vnd.openxmlformats-officedocument.spreadsheetml.worksheet+xml"/>
  <Override PartName="/xl/tables/table35.xml" ContentType="application/vnd.openxmlformats-officedocument.spreadsheetml.table+xml"/>
  <Override PartName="/xl/worksheets/sheet38.xml" ContentType="application/vnd.openxmlformats-officedocument.spreadsheetml.worksheet+xml"/>
  <Override PartName="/xl/tables/table36.xml" ContentType="application/vnd.openxmlformats-officedocument.spreadsheetml.table+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Frequency Keys" sheetId="2" state="visible" r:id="rId2"/>
    <sheet name="Harmonic Relations" sheetId="3" state="visible" r:id="rId3"/>
    <sheet name="Specimens" sheetId="4" state="visible" r:id="rId4"/>
    <sheet name="Mode Estimates" sheetId="5" state="visible" r:id="rId5"/>
    <sheet name="Timing Recipes" sheetId="6" state="visible" r:id="rId6"/>
    <sheet name="Hypotheses" sheetId="7" state="visible" r:id="rId7"/>
    <sheet name="Evidence Ledger" sheetId="8" state="visible" r:id="rId8"/>
    <sheet name="Eye Results" sheetId="9" state="visible" r:id="rId9"/>
    <sheet name="Resonator Platform" sheetId="10" state="visible" r:id="rId10"/>
    <sheet name="Hardware BOM" sheetId="11" state="visible" r:id="rId11"/>
    <sheet name="Experiment Queue" sheetId="12" state="visible" r:id="rId12"/>
    <sheet name="Corrections" sheetId="13" state="visible" r:id="rId13"/>
    <sheet name="Source Registry" sheetId="14" state="visible" r:id="rId14"/>
    <sheet name="Lore Registry" sheetId="15" state="visible" r:id="rId15"/>
    <sheet name="Installer Metadata" sheetId="16" state="visible" r:id="rId16"/>
    <sheet name="CSCP Candidates" sheetId="17" state="visible" r:id="rId17"/>
    <sheet name="CSCP Tetrahedron" sheetId="18" state="visible" r:id="rId18"/>
    <sheet name="CSCP Spacetime" sheetId="19" state="visible" r:id="rId19"/>
    <sheet name="CSCP Experiments" sheetId="20" state="visible" r:id="rId20"/>
    <sheet name="PMWR Recovery" sheetId="21" state="visible" r:id="rId21"/>
    <sheet name="PMWR Crystal" sheetId="22" state="visible" r:id="rId22"/>
    <sheet name="PMWR Phryll" sheetId="23" state="visible" r:id="rId23"/>
    <sheet name="R3 Root Space" sheetId="24" state="visible" r:id="rId24"/>
    <sheet name="R3 Lanes" sheetId="25" state="visible" r:id="rId25"/>
    <sheet name="R4 Codec" sheetId="26" state="visible" r:id="rId26"/>
    <sheet name="R4 Platforms" sheetId="27" state="visible" r:id="rId27"/>
    <sheet name="R6 Claims" sheetId="28" state="visible" r:id="rId28"/>
    <sheet name="R6 Apparatus" sheetId="29" state="visible" r:id="rId29"/>
    <sheet name="R6 Witness" sheetId="30" state="visible" r:id="rId30"/>
    <sheet name="R6 Mailbox" sheetId="31" state="visible" r:id="rId31"/>
    <sheet name="R6 Grid" sheetId="32" state="visible" r:id="rId32"/>
    <sheet name="R6 Instruments" sheetId="33" state="visible" r:id="rId33"/>
    <sheet name="R6 Governance" sheetId="34" state="visible" r:id="rId34"/>
    <sheet name="R7 CW" sheetId="35" state="visible" r:id="rId35"/>
    <sheet name="R7 Gravity" sheetId="36" state="visible" r:id="rId36"/>
    <sheet name="R7 Clock Link" sheetId="37" state="visible" r:id="rId37"/>
    <sheet name="R7 Governance" sheetId="38" state="visible" r:id="rId38"/>
    <sheet name="Workbook Guide" sheetId="39" state="visible" r:id="rId3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6"/>
    </font>
    <font>
      <i val="1"/>
    </font>
    <font>
      <b val="1"/>
    </font>
    <font>
      <b val="1"/>
      <color rgb="00FFFFFF"/>
    </font>
    <font>
      <b val="1"/>
      <sz val="14"/>
    </font>
  </fonts>
  <fills count="25">
    <fill>
      <patternFill/>
    </fill>
    <fill>
      <patternFill patternType="gray125"/>
    </fill>
    <fill>
      <patternFill patternType="solid">
        <fgColor rgb="00E0D0F0"/>
      </patternFill>
    </fill>
    <fill>
      <patternFill patternType="solid">
        <fgColor rgb="00FFF0C0"/>
      </patternFill>
    </fill>
    <fill>
      <patternFill patternType="solid">
        <fgColor rgb="00D8E8FF"/>
      </patternFill>
    </fill>
    <fill>
      <patternFill patternType="solid">
        <fgColor rgb="00CFE8CF"/>
      </patternFill>
    </fill>
    <fill>
      <patternFill patternType="solid">
        <fgColor rgb="00BFE0D8"/>
      </patternFill>
    </fill>
    <fill>
      <patternFill patternType="solid">
        <fgColor rgb="00FFE0B0"/>
      </patternFill>
    </fill>
    <fill>
      <patternFill patternType="solid">
        <fgColor rgb="00B0F0B0"/>
      </patternFill>
    </fill>
    <fill>
      <patternFill patternType="solid">
        <fgColor rgb="0080E080"/>
      </patternFill>
    </fill>
    <fill>
      <patternFill patternType="solid">
        <fgColor rgb="00F0C8C8"/>
      </patternFill>
    </fill>
    <fill>
      <patternFill patternType="solid">
        <fgColor rgb="00D8D8D8"/>
      </patternFill>
    </fill>
    <fill>
      <patternFill patternType="solid">
        <fgColor rgb="00E8D8F0"/>
      </patternFill>
    </fill>
    <fill>
      <patternFill patternType="solid">
        <fgColor rgb="00D0E0F0"/>
      </patternFill>
    </fill>
    <fill>
      <patternFill patternType="solid">
        <fgColor rgb="00A0E8A0"/>
      </patternFill>
    </fill>
    <fill>
      <patternFill patternType="solid">
        <fgColor rgb="00E0E0C0"/>
      </patternFill>
    </fill>
    <fill>
      <patternFill patternType="solid">
        <fgColor rgb="00E0D0C0"/>
      </patternFill>
    </fill>
    <fill>
      <patternFill patternType="solid">
        <fgColor rgb="00F0D0D0"/>
      </patternFill>
    </fill>
    <fill>
      <patternFill patternType="solid">
        <fgColor rgb="00F0E0A0"/>
      </patternFill>
    </fill>
    <fill>
      <patternFill patternType="solid">
        <fgColor rgb="00C0E8E0"/>
      </patternFill>
    </fill>
    <fill>
      <patternFill patternType="solid">
        <fgColor rgb="00D0F0D0"/>
      </patternFill>
    </fill>
    <fill>
      <patternFill patternType="solid">
        <fgColor rgb="00FFF8E0"/>
      </patternFill>
    </fill>
    <fill>
      <patternFill patternType="solid">
        <fgColor rgb="00DCEAF6"/>
      </patternFill>
    </fill>
    <fill>
      <patternFill patternType="solid">
        <fgColor rgb="00C8E0F0"/>
      </patternFill>
    </fill>
    <fill>
      <patternFill patternType="solid">
        <fgColor rgb="002E3A46"/>
      </patternFill>
    </fill>
  </fills>
  <borders count="1">
    <border>
      <left/>
      <right/>
      <top/>
      <bottom/>
      <diagonal/>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wrapText="1"/>
    </xf>
    <xf numFmtId="0" fontId="3"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xf numFmtId="0" fontId="4" fillId="24" borderId="0" applyAlignment="1" pivotButton="0" quotePrefix="0" xfId="0">
      <alignment horizontal="left"/>
    </xf>
    <xf numFmtId="0" fontId="4" fillId="24"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tables/table1.xml><?xml version="1.0" encoding="utf-8"?>
<table xmlns="http://schemas.openxmlformats.org/spreadsheetml/2006/main" id="1" name="FrequencyKeys" displayName="FrequencyKeys" ref="A1:I13" headerRowCount="1">
  <autoFilter ref="A1:I13"/>
  <tableColumns count="9">
    <tableColumn id="1" name="id"/>
    <tableColumn id="2" name="kind"/>
    <tableColumn id="3" name="evidence_class"/>
    <tableColumn id="4" name="privacy_class"/>
    <tableColumn id="5" name="provenance"/>
    <tableColumn id="6" name="hz"/>
    <tableColumn id="7" name="hz_float"/>
    <tableColumn id="8" name="status"/>
    <tableColumn id="9" name="tags"/>
  </tableColumns>
  <tableStyleInfo name="TableStyleLight9" showRowStripes="0"/>
</table>
</file>

<file path=xl/tables/table2.xml><?xml version="1.0" encoding="utf-8"?>
<table xmlns="http://schemas.openxmlformats.org/spreadsheetml/2006/main" id="2" name="HarmonicRelations" displayName="HarmonicRelations" ref="A1:M8" headerRowCount="1">
  <autoFilter ref="A1:M8"/>
  <tableColumns count="13">
    <tableColumn id="1" name="id"/>
    <tableColumn id="2" name="kind"/>
    <tableColumn id="3" name="evidence_class"/>
    <tableColumn id="4" name="privacy_class"/>
    <tableColumn id="5" name="provenance"/>
    <tableColumn id="6" name="expression"/>
    <tableColumn id="7" name="output_hz"/>
    <tableColumn id="8" name="target_hz"/>
    <tableColumn id="9" name="primary_class"/>
    <tableColumn id="10" name="order"/>
    <tableColumn id="11" name="exact"/>
    <tableColumn id="12" name="abs_error_hz"/>
    <tableColumn id="13" name="note"/>
  </tableColumns>
  <tableStyleInfo name="TableStyleLight9" showRowStripes="0"/>
</table>
</file>

<file path=xl/tables/table3.xml><?xml version="1.0" encoding="utf-8"?>
<table xmlns="http://schemas.openxmlformats.org/spreadsheetml/2006/main" id="3" name="Specimens" displayName="Specimens" ref="A1:K2" headerRowCount="1">
  <autoFilter ref="A1:K2"/>
  <tableColumns count="11">
    <tableColumn id="1" name="id"/>
    <tableColumn id="2" name="kind"/>
    <tableColumn id="3" name="evidence_class"/>
    <tableColumn id="4" name="privacy_class"/>
    <tableColumn id="5" name="provenance"/>
    <tableColumn id="6" name="revision"/>
    <tableColumn id="7" name="status"/>
    <tableColumn id="8" name="length_mm"/>
    <tableColumn id="9" name="facets"/>
    <tableColumn id="10" name="material_claim"/>
    <tableColumn id="11" name="warning"/>
  </tableColumns>
  <tableStyleInfo name="TableStyleLight9" showRowStripes="0"/>
</table>
</file>

<file path=xl/tables/table4.xml><?xml version="1.0" encoding="utf-8"?>
<table xmlns="http://schemas.openxmlformats.org/spreadsheetml/2006/main" id="4" name="TimingRecipes" displayName="TimingRecipes" ref="A1:K12" headerRowCount="1">
  <autoFilter ref="A1:K12"/>
  <tableColumns count="11">
    <tableColumn id="1" name="id"/>
    <tableColumn id="2" name="kind"/>
    <tableColumn id="3" name="evidence_class"/>
    <tableColumn id="4" name="privacy_class"/>
    <tableColumn id="5" name="provenance"/>
    <tableColumn id="6" name="family"/>
    <tableColumn id="7" name="frequency_hz"/>
    <tableColumn id="8" name="mechanism"/>
    <tableColumn id="9" name="order"/>
    <tableColumn id="10" name="hypothesis"/>
    <tableColumn id="11" name="is_control"/>
  </tableColumns>
  <tableStyleInfo name="TableStyleLight9" showRowStripes="0"/>
</table>
</file>

<file path=xl/tables/table5.xml><?xml version="1.0" encoding="utf-8"?>
<table xmlns="http://schemas.openxmlformats.org/spreadsheetml/2006/main" id="5" name="Hypotheses" displayName="Hypotheses" ref="A1:J7" headerRowCount="1">
  <autoFilter ref="A1:J7"/>
  <tableColumns count="10">
    <tableColumn id="1" name="id"/>
    <tableColumn id="2" name="kind"/>
    <tableColumn id="3" name="evidence_class"/>
    <tableColumn id="4" name="privacy_class"/>
    <tableColumn id="5" name="provenance"/>
    <tableColumn id="6" name="statement"/>
    <tableColumn id="7" name="mechanism"/>
    <tableColumn id="8" name="status"/>
    <tableColumn id="9" name="prediction"/>
    <tableColumn id="10" name="disconfirmed_by"/>
  </tableColumns>
  <tableStyleInfo name="TableStyleLight9" showRowStripes="0"/>
</table>
</file>

<file path=xl/tables/table6.xml><?xml version="1.0" encoding="utf-8"?>
<table xmlns="http://schemas.openxmlformats.org/spreadsheetml/2006/main" id="6" name="EvidenceLedger" displayName="EvidenceLedger" ref="A1:F272" headerRowCount="1">
  <autoFilter ref="A1:F272"/>
  <tableColumns count="6">
    <tableColumn id="1" name="table"/>
    <tableColumn id="2" name="id"/>
    <tableColumn id="3" name="kind"/>
    <tableColumn id="4" name="evidence_class"/>
    <tableColumn id="5" name="privacy_class"/>
    <tableColumn id="6" name="provenance"/>
  </tableColumns>
  <tableStyleInfo name="TableStyleLight9" showRowStripes="0"/>
</table>
</file>

<file path=xl/tables/table7.xml><?xml version="1.0" encoding="utf-8"?>
<table xmlns="http://schemas.openxmlformats.org/spreadsheetml/2006/main" id="7" name="EyeResults" displayName="EyeResults" ref="A1:L3" headerRowCount="1">
  <autoFilter ref="A1:L3"/>
  <tableColumns count="12">
    <tableColumn id="1" name="id"/>
    <tableColumn id="2" name="kind"/>
    <tableColumn id="3" name="evidence_class"/>
    <tableColumn id="4" name="privacy_class"/>
    <tableColumn id="5" name="provenance"/>
    <tableColumn id="6" name="candidate_mm"/>
    <tableColumn id="7" name="station_mm"/>
    <tableColumn id="8" name="separation_mm"/>
    <tableColumn id="9" name="halfwidth_mm"/>
    <tableColumn id="10" name="status"/>
    <tableColumn id="11" name="note"/>
    <tableColumn id="12" name="spacing_mm"/>
  </tableColumns>
  <tableStyleInfo name="TableStyleLight9" showRowStripes="0"/>
</table>
</file>

<file path=xl/tables/table8.xml><?xml version="1.0" encoding="utf-8"?>
<table xmlns="http://schemas.openxmlformats.org/spreadsheetml/2006/main" id="8" name="ResonatorPlatform" displayName="ResonatorPlatform" ref="A1:L2" headerRowCount="1">
  <autoFilter ref="A1:L2"/>
  <tableColumns count="12">
    <tableColumn id="1" name="id"/>
    <tableColumn id="2" name="kind"/>
    <tableColumn id="3" name="evidence_class"/>
    <tableColumn id="4" name="privacy_class"/>
    <tableColumn id="5" name="provenance"/>
    <tableColumn id="6" name="predicted_hz"/>
    <tableColumn id="7" name="target_hz"/>
    <tableColumn id="8" name="final_fitted_hz"/>
    <tableColumn id="9" name="accepted"/>
    <tableColumn id="10" name="iterations"/>
    <tableColumn id="11" name="synthetic"/>
    <tableColumn id="12" name="banner"/>
  </tableColumns>
  <tableStyleInfo name="TableStyleLight9" showRowStripes="0"/>
</table>
</file>

<file path=xl/tables/table9.xml><?xml version="1.0" encoding="utf-8"?>
<table xmlns="http://schemas.openxmlformats.org/spreadsheetml/2006/main" id="9" name="HardwareBOM" displayName="HardwareBOM" ref="A1:K9" headerRowCount="1">
  <autoFilter ref="A1:K9"/>
  <tableColumns count="11">
    <tableColumn id="1" name="id"/>
    <tableColumn id="2" name="kind"/>
    <tableColumn id="3" name="evidence_class"/>
    <tableColumn id="4" name="privacy_class"/>
    <tableColumn id="5" name="provenance"/>
    <tableColumn id="6" name="board"/>
    <tableColumn id="7" name="verified"/>
    <tableColumn id="8" name="candidate_output_pins"/>
    <tableColumn id="9" name="note"/>
    <tableColumn id="10" name="item"/>
    <tableColumn id="11" name="status"/>
  </tableColumns>
  <tableStyleInfo name="TableStyleLight9" showRowStripes="0"/>
</table>
</file>

<file path=xl/tables/table10.xml><?xml version="1.0" encoding="utf-8"?>
<table xmlns="http://schemas.openxmlformats.org/spreadsheetml/2006/main" id="10" name="ExperimentQueue" displayName="ExperimentQueue" ref="A1:H9" headerRowCount="1">
  <autoFilter ref="A1:H9"/>
  <tableColumns count="8">
    <tableColumn id="1" name="id"/>
    <tableColumn id="2" name="kind"/>
    <tableColumn id="3" name="evidence_class"/>
    <tableColumn id="4" name="privacy_class"/>
    <tableColumn id="5" name="provenance"/>
    <tableColumn id="6" name="order"/>
    <tableColumn id="7" name="campaign"/>
    <tableColumn id="8" name="status"/>
  </tableColumns>
  <tableStyleInfo name="TableStyleLight9" showRowStripes="0"/>
</table>
</file>

<file path=xl/tables/table11.xml><?xml version="1.0" encoding="utf-8"?>
<table xmlns="http://schemas.openxmlformats.org/spreadsheetml/2006/main" id="11" name="Corrections" displayName="Corrections" ref="A1:F11" headerRowCount="1">
  <autoFilter ref="A1:F11"/>
  <tableColumns count="6">
    <tableColumn id="1" name="id"/>
    <tableColumn id="2" name="kind"/>
    <tableColumn id="3" name="evidence_class"/>
    <tableColumn id="4" name="privacy_class"/>
    <tableColumn id="5" name="provenance"/>
    <tableColumn id="6" name="statement"/>
  </tableColumns>
  <tableStyleInfo name="TableStyleLight9" showRowStripes="0"/>
</table>
</file>

<file path=xl/tables/table12.xml><?xml version="1.0" encoding="utf-8"?>
<table xmlns="http://schemas.openxmlformats.org/spreadsheetml/2006/main" id="12" name="SourceRegistry" displayName="SourceRegistry" ref="A1:J6" headerRowCount="1">
  <autoFilter ref="A1:J6"/>
  <tableColumns count="10">
    <tableColumn id="1" name="id"/>
    <tableColumn id="2" name="kind"/>
    <tableColumn id="3" name="evidence_class"/>
    <tableColumn id="4" name="privacy_class"/>
    <tableColumn id="5" name="provenance"/>
    <tableColumn id="6" name="title"/>
    <tableColumn id="7" name="doi"/>
    <tableColumn id="8" name="system"/>
    <tableColumn id="9" name="publication_state"/>
    <tableColumn id="10" name="forbidden_transfers"/>
  </tableColumns>
  <tableStyleInfo name="TableStyleLight9" showRowStripes="0"/>
</table>
</file>

<file path=xl/tables/table13.xml><?xml version="1.0" encoding="utf-8"?>
<table xmlns="http://schemas.openxmlformats.org/spreadsheetml/2006/main" id="13" name="LoreRegistry" displayName="LoreRegistry" ref="A1:G2" headerRowCount="1">
  <autoFilter ref="A1:G2"/>
  <tableColumns count="7">
    <tableColumn id="1" name="id"/>
    <tableColumn id="2" name="kind"/>
    <tableColumn id="3" name="evidence_class"/>
    <tableColumn id="4" name="privacy_class"/>
    <tableColumn id="5" name="provenance"/>
    <tableColumn id="6" name="statement"/>
    <tableColumn id="7" name="note"/>
  </tableColumns>
  <tableStyleInfo name="TableStyleLight9" showRowStripes="0"/>
</table>
</file>

<file path=xl/tables/table14.xml><?xml version="1.0" encoding="utf-8"?>
<table xmlns="http://schemas.openxmlformats.org/spreadsheetml/2006/main" id="14" name="InstallerMetadata" displayName="InstallerMetadata" ref="A1:L2" headerRowCount="1">
  <autoFilter ref="A1:L2"/>
  <tableColumns count="12">
    <tableColumn id="1" name="id"/>
    <tableColumn id="2" name="kind"/>
    <tableColumn id="3" name="evidence_class"/>
    <tableColumn id="4" name="privacy_class"/>
    <tableColumn id="5" name="provenance"/>
    <tableColumn id="6" name="product"/>
    <tableColumn id="7" name="install_scope"/>
    <tableColumn id="8" name="signed"/>
    <tableColumn id="9" name="telemetry"/>
    <tableColumn id="10" name="network"/>
    <tableColumn id="11" name="claim_boundary"/>
    <tableColumn id="12" name="version"/>
  </tableColumns>
  <tableStyleInfo name="TableStyleLight9" showRowStripes="0"/>
</table>
</file>

<file path=xl/tables/table15.xml><?xml version="1.0" encoding="utf-8"?>
<table xmlns="http://schemas.openxmlformats.org/spreadsheetml/2006/main" id="15" name="CSCPCandidates" displayName="CSCPCandidates" ref="A1:L18" headerRowCount="1">
  <autoFilter ref="A1:L18"/>
  <tableColumns count="12">
    <tableColumn id="1" name="id"/>
    <tableColumn id="2" name="kind"/>
    <tableColumn id="3" name="evidence_class"/>
    <tableColumn id="4" name="privacy_class"/>
    <tableColumn id="5" name="provenance"/>
    <tableColumn id="6" name="exact_value"/>
    <tableColumn id="7" name="unit"/>
    <tableColumn id="8" name="physically_supported_value"/>
    <tableColumn id="9" name="significant_figures"/>
    <tableColumn id="10" name="overclaims_if_quoted_exactly"/>
    <tableColumn id="11" name="status"/>
    <tableColumn id="12" name="note"/>
  </tableColumns>
  <tableStyleInfo name="TableStyleLight9" showRowStripes="0"/>
</table>
</file>

<file path=xl/tables/table16.xml><?xml version="1.0" encoding="utf-8"?>
<table xmlns="http://schemas.openxmlformats.org/spreadsheetml/2006/main" id="16" name="CSCPTetrahedron" displayName="CSCPTetrahedron" ref="A1:N6" headerRowCount="1">
  <autoFilter ref="A1:N6"/>
  <tableColumns count="14">
    <tableColumn id="1" name="id"/>
    <tableColumn id="2" name="kind"/>
    <tableColumn id="3" name="evidence_class"/>
    <tableColumn id="4" name="privacy_class"/>
    <tableColumn id="5" name="provenance"/>
    <tableColumn id="6" name="source_phrase"/>
    <tableColumn id="7" name="status"/>
    <tableColumn id="8" name="n_readings"/>
    <tableColumn id="9" name="resolution"/>
    <tableColumn id="10" name="vertices"/>
    <tableColumn id="11" name="edges"/>
    <tableColumn id="12" name="tetrahedral_cells"/>
    <tableColumn id="13" name="algebraic_connectivity"/>
    <tableColumn id="14" name="note"/>
  </tableColumns>
  <tableStyleInfo name="TableStyleLight9" showRowStripes="0"/>
</table>
</file>

<file path=xl/tables/table17.xml><?xml version="1.0" encoding="utf-8"?>
<table xmlns="http://schemas.openxmlformats.org/spreadsheetml/2006/main" id="17" name="CSCPSpacetime" displayName="CSCPSpacetime" ref="A1:O7" headerRowCount="1">
  <autoFilter ref="A1:O7"/>
  <tableColumns count="15">
    <tableColumn id="1" name="id"/>
    <tableColumn id="2" name="kind"/>
    <tableColumn id="3" name="evidence_class"/>
    <tableColumn id="4" name="privacy_class"/>
    <tableColumn id="5" name="provenance"/>
    <tableColumn id="6" name="apparatus"/>
    <tableColumn id="7" name="energy_j"/>
    <tableColumn id="8" name="equivalent_mass_kg"/>
    <tableColumn id="9" name="schwarzschild_radius_m"/>
    <tableColumn id="10" name="orders_of_magnitude_below_proton"/>
    <tableColumn id="11" name="verdict"/>
    <tableColumn id="12" name="claim"/>
    <tableColumn id="13" name="status"/>
    <tableColumn id="14" name="required_evidence"/>
    <tableColumn id="15" name="why_unsupported"/>
  </tableColumns>
  <tableStyleInfo name="TableStyleLight9" showRowStripes="0"/>
</table>
</file>

<file path=xl/tables/table18.xml><?xml version="1.0" encoding="utf-8"?>
<table xmlns="http://schemas.openxmlformats.org/spreadsheetml/2006/main" id="18" name="CSCPExperiments" displayName="CSCPExperiments" ref="A1:L3" headerRowCount="1">
  <autoFilter ref="A1:L3"/>
  <tableColumns count="12">
    <tableColumn id="1" name="id"/>
    <tableColumn id="2" name="kind"/>
    <tableColumn id="3" name="evidence_class"/>
    <tableColumn id="4" name="privacy_class"/>
    <tableColumn id="5" name="provenance"/>
    <tableColumn id="6" name="question"/>
    <tableColumn id="7" name="n_controls"/>
    <tableColumn id="8" name="n_per_condition"/>
    <tableColumn id="9" name="blinding"/>
    <tableColumn id="10" name="stopping_rule"/>
    <tableColumn id="11" name="apparatus_status"/>
    <tableColumn id="12" name="data_status"/>
  </tableColumns>
  <tableStyleInfo name="TableStyleLight9" showRowStripes="0"/>
</table>
</file>

<file path=xl/tables/table19.xml><?xml version="1.0" encoding="utf-8"?>
<table xmlns="http://schemas.openxmlformats.org/spreadsheetml/2006/main" id="19" name="PMWRRecovery" displayName="PMWRRecovery" ref="A1:Q5" headerRowCount="1">
  <autoFilter ref="A1:Q5"/>
  <tableColumns count="17">
    <tableColumn id="1" name="id"/>
    <tableColumn id="2" name="kind"/>
    <tableColumn id="3" name="evidence_class"/>
    <tableColumn id="4" name="privacy_class"/>
    <tableColumn id="5" name="provenance"/>
    <tableColumn id="6" name="closure_window_s"/>
    <tableColumn id="7" name="aliases_per_second"/>
    <tableColumn id="8" name="statement"/>
    <tableColumn id="9" name="window_a_s"/>
    <tableColumn id="10" name="window_b_s"/>
    <tableColumn id="11" name="combined_range_s"/>
    <tableColumn id="12" name="improvement"/>
    <tableColumn id="13" name="differential_rate"/>
    <tableColumn id="14" name="phase_cycles_per_day"/>
    <tableColumn id="15" name="interpretation"/>
    <tableColumn id="16" name="textbook_not_novel"/>
    <tableColumn id="17" name="programme_specific"/>
  </tableColumns>
  <tableStyleInfo name="TableStyleLight9" showRowStripes="0"/>
</table>
</file>

<file path=xl/tables/table20.xml><?xml version="1.0" encoding="utf-8"?>
<table xmlns="http://schemas.openxmlformats.org/spreadsheetml/2006/main" id="20" name="PMWRCrystal" displayName="PMWRCrystal" ref="A1:J8" headerRowCount="1">
  <autoFilter ref="A1:J8"/>
  <tableColumns count="10">
    <tableColumn id="1" name="id"/>
    <tableColumn id="2" name="kind"/>
    <tableColumn id="3" name="evidence_class"/>
    <tableColumn id="4" name="privacy_class"/>
    <tableColumn id="5" name="provenance"/>
    <tableColumn id="6" name="theta_deg"/>
    <tableColumn id="7" name="h_over_half_base"/>
    <tableColumn id="8" name="full_base_over_height"/>
    <tableColumn id="9" name="abs_diff_from_pi_over_2"/>
    <tableColumn id="10" name="mechanism_claim"/>
  </tableColumns>
  <tableStyleInfo name="TableStyleLight9" showRowStripes="0"/>
</table>
</file>

<file path=xl/tables/table21.xml><?xml version="1.0" encoding="utf-8"?>
<table xmlns="http://schemas.openxmlformats.org/spreadsheetml/2006/main" id="21" name="PMWRPhryll" displayName="PMWRPhryll" ref="A1:M15" headerRowCount="1">
  <autoFilter ref="A1:M15"/>
  <tableColumns count="13">
    <tableColumn id="1" name="id"/>
    <tableColumn id="2" name="kind"/>
    <tableColumn id="3" name="evidence_class"/>
    <tableColumn id="4" name="privacy_class"/>
    <tableColumn id="5" name="provenance"/>
    <tableColumn id="6" name="ladder"/>
    <tableColumn id="7" name="detected_state_exists"/>
    <tableColumn id="8" name="operator_note_sha256"/>
    <tableColumn id="9" name="note_status"/>
    <tableColumn id="10" name="refusal"/>
    <tableColumn id="11" name="question"/>
    <tableColumn id="12" name="apparatus_status"/>
    <tableColumn id="13" name="data_status"/>
  </tableColumns>
  <tableStyleInfo name="TableStyleLight9" showRowStripes="0"/>
</table>
</file>

<file path=xl/tables/table22.xml><?xml version="1.0" encoding="utf-8"?>
<table xmlns="http://schemas.openxmlformats.org/spreadsheetml/2006/main" id="22" name="R3RootSpace" displayName="R3RootSpace" ref="A1:L15" headerRowCount="1">
  <autoFilter ref="A1:L15"/>
  <tableColumns count="12">
    <tableColumn id="1" name="id"/>
    <tableColumn id="2" name="kind"/>
    <tableColumn id="3" name="evidence_class"/>
    <tableColumn id="4" name="privacy_class"/>
    <tableColumn id="5" name="provenance"/>
    <tableColumn id="6" name="candidates_per_second"/>
    <tableColumn id="7" name="status"/>
    <tableColumn id="8" name="statement"/>
    <tableColumn id="9" name="beat_hz"/>
    <tableColumn id="10" name="resolved"/>
    <tableColumn id="11" name="note"/>
    <tableColumn id="12" name="refusal"/>
  </tableColumns>
  <tableStyleInfo name="TableStyleLight9" showRowStripes="0"/>
</table>
</file>

<file path=xl/tables/table23.xml><?xml version="1.0" encoding="utf-8"?>
<table xmlns="http://schemas.openxmlformats.org/spreadsheetml/2006/main" id="23" name="R3Lanes" displayName="R3Lanes" ref="A1:P5" headerRowCount="1">
  <autoFilter ref="A1:P5"/>
  <tableColumns count="16">
    <tableColumn id="1" name="id"/>
    <tableColumn id="2" name="kind"/>
    <tableColumn id="3" name="evidence_class"/>
    <tableColumn id="4" name="privacy_class"/>
    <tableColumn id="5" name="provenance"/>
    <tableColumn id="6" name="target_h"/>
    <tableColumn id="7" name="region_m"/>
    <tableColumn id="8" name="required_mass_kg"/>
    <tableColumn id="9" name="verdict"/>
    <tableColumn id="10" name="spin_density"/>
    <tableColumn id="11" name="torsion_1_per_m"/>
    <tableColumn id="12" name="levels"/>
    <tableColumn id="13" name="formula"/>
    <tableColumn id="14" name="grid_status"/>
    <tableColumn id="15" name="portal_status"/>
    <tableColumn id="16" name="note"/>
  </tableColumns>
  <tableStyleInfo name="TableStyleLight9" showRowStripes="0"/>
</table>
</file>

<file path=xl/tables/table24.xml><?xml version="1.0" encoding="utf-8"?>
<table xmlns="http://schemas.openxmlformats.org/spreadsheetml/2006/main" id="24" name="R4Codec" displayName="R4Codec" ref="A1:R10" headerRowCount="1">
  <autoFilter ref="A1:R10"/>
  <tableColumns count="18">
    <tableColumn id="1" name="id"/>
    <tableColumn id="2" name="kind"/>
    <tableColumn id="3" name="evidence_class"/>
    <tableColumn id="4" name="privacy_class"/>
    <tableColumn id="5" name="provenance"/>
    <tableColumn id="6" name="identity"/>
    <tableColumn id="7" name="keys_checked"/>
    <tableColumn id="8" name="roundtrip_ok"/>
    <tableColumn id="9" name="is_compression"/>
    <tableColumn id="10" name="note"/>
    <tableColumn id="11" name="pairwise_dot"/>
    <tableColumn id="12" name="orthogonal"/>
    <tableColumn id="13" name="negative_control"/>
    <tableColumn id="14" name="beats_any_baseline"/>
    <tableColumn id="15" name="baselines_beaten"/>
    <tableColumn id="16" name="gate"/>
    <tableColumn id="17" name="failures"/>
    <tableColumn id="18" name="structured_wins"/>
  </tableColumns>
  <tableStyleInfo name="TableStyleLight9" showRowStripes="0"/>
</table>
</file>

<file path=xl/tables/table25.xml><?xml version="1.0" encoding="utf-8"?>
<table xmlns="http://schemas.openxmlformats.org/spreadsheetml/2006/main" id="25" name="R4Platforms" displayName="R4Platforms" ref="A1:T17" headerRowCount="1">
  <autoFilter ref="A1:T17"/>
  <tableColumns count="20">
    <tableColumn id="1" name="id"/>
    <tableColumn id="2" name="kind"/>
    <tableColumn id="3" name="evidence_class"/>
    <tableColumn id="4" name="privacy_class"/>
    <tableColumn id="5" name="provenance"/>
    <tableColumn id="6" name="type"/>
    <tableColumn id="7" name="native_levels"/>
    <tableColumn id="8" name="orthogonal"/>
    <tableColumn id="9" name="coherent"/>
    <tableColumn id="10" name="selectable"/>
    <tableColumn id="11" name="open_gates"/>
    <tableColumn id="12" name="limitations"/>
    <tableColumn id="13" name="recommended_coherent"/>
    <tableColumn id="14" name="recommended_classical"/>
    <tableColumn id="15" name="quartz_status"/>
    <tableColumn id="16" name="physical_status"/>
    <tableColumn id="17" name="any_stage_runnable"/>
    <tableColumn id="18" name="blocker"/>
    <tableColumn id="19" name="claim"/>
    <tableColumn id="20" name="status"/>
  </tableColumns>
  <tableStyleInfo name="TableStyleLight9" showRowStripes="0"/>
</table>
</file>

<file path=xl/tables/table26.xml><?xml version="1.0" encoding="utf-8"?>
<table xmlns="http://schemas.openxmlformats.org/spreadsheetml/2006/main" id="26" name="R6Claims" displayName="R6Claims" ref="A1:M29" headerRowCount="1">
  <autoFilter ref="A1:M29"/>
  <tableColumns count="13">
    <tableColumn id="1" name="id"/>
    <tableColumn id="2" name="kind"/>
    <tableColumn id="3" name="evidence_class"/>
    <tableColumn id="4" name="privacy_class"/>
    <tableColumn id="5" name="provenance"/>
    <tableColumn id="6" name="verbatim"/>
    <tableColumn id="7" name="source_class"/>
    <tableColumn id="8" name="translation"/>
    <tableColumn id="9" name="standing"/>
    <tableColumn id="10" name="ceiling"/>
    <tableColumn id="11" name="correction"/>
    <tableColumn id="12" name="required_evidence"/>
    <tableColumn id="13" name="ordinary_first"/>
  </tableColumns>
  <tableStyleInfo name="TableStyleLight9" showRowStripes="0"/>
</table>
</file>

<file path=xl/tables/table27.xml><?xml version="1.0" encoding="utf-8"?>
<table xmlns="http://schemas.openxmlformats.org/spreadsheetml/2006/main" id="27" name="R6Apparatus" displayName="R6Apparatus" ref="A1:AA4" headerRowCount="1">
  <autoFilter ref="A1:AA4"/>
  <tableColumns count="27">
    <tableColumn id="1" name="id"/>
    <tableColumn id="2" name="kind"/>
    <tableColumn id="3" name="evidence_class"/>
    <tableColumn id="4" name="privacy_class"/>
    <tableColumn id="5" name="provenance"/>
    <tableColumn id="6" name="numeric_bz_t"/>
    <tableColumn id="7" name="analytic_finite_bz_t"/>
    <tableColumn id="8" name="relative_error_finite"/>
    <tableColumn id="9" name="relative_error_infinite"/>
    <tableColumn id="10" name="aspect_ratio"/>
    <tableColumn id="11" name="note"/>
    <tableColumn id="12" name="claim"/>
    <tableColumn id="13" name="purely_differential_fraction"/>
    <tableColumn id="14" name="antiphase_fraction"/>
    <tableColumn id="15" name="mean_common_mode_a"/>
    <tableColumn id="16" name="mean_abs_differential_a"/>
    <tableColumn id="17" name="result"/>
    <tableColumn id="18" name="frequencies_hz"/>
    <tableColumn id="19" name="fundamental_hz"/>
    <tableColumn id="20" name="all_below_fundamental"/>
    <tableColumn id="21" name="statistic"/>
    <tableColumn id="22" name="null_draws"/>
    <tableColumn id="23" name="null_at_least_as_good"/>
    <tableColumn id="24" name="p_value"/>
    <tableColumn id="25" name="significant"/>
    <tableColumn id="26" name="verdict"/>
    <tableColumn id="27" name="ceiling"/>
  </tableColumns>
  <tableStyleInfo name="TableStyleLight9" showRowStripes="0"/>
</table>
</file>

<file path=xl/tables/table28.xml><?xml version="1.0" encoding="utf-8"?>
<table xmlns="http://schemas.openxmlformats.org/spreadsheetml/2006/main" id="28" name="R6Witness" displayName="R6Witness" ref="A1:V5" headerRowCount="1">
  <autoFilter ref="A1:V5"/>
  <tableColumns count="22">
    <tableColumn id="1" name="id"/>
    <tableColumn id="2" name="kind"/>
    <tableColumn id="3" name="evidence_class"/>
    <tableColumn id="4" name="privacy_class"/>
    <tableColumn id="5" name="provenance"/>
    <tableColumn id="6" name="witness_a"/>
    <tableColumn id="7" name="witness_b"/>
    <tableColumn id="8" name="predicted_frac"/>
    <tableColumn id="9" name="frac_uncertainty"/>
    <tableColumn id="10" name="status"/>
    <tableColumn id="11" name="witness_class"/>
    <tableColumn id="12" name="consistent"/>
    <tableColumn id="13" name="note"/>
    <tableColumn id="14" name="operation"/>
    <tableColumn id="15" name="result"/>
    <tableColumn id="16" name="ordinary_decay_causes"/>
    <tableColumn id="17" name="reason"/>
    <tableColumn id="18" name="collapse"/>
    <tableColumn id="19" name="payload_id"/>
    <tableColumn id="20" name="root_certificate_present"/>
    <tableColumn id="21" name="posterior_returned"/>
    <tableColumn id="22" name="refusal_reason"/>
  </tableColumns>
  <tableStyleInfo name="TableStyleLight9" showRowStripes="0"/>
</table>
</file>

<file path=xl/tables/table29.xml><?xml version="1.0" encoding="utf-8"?>
<table xmlns="http://schemas.openxmlformats.org/spreadsheetml/2006/main" id="29" name="R6Mailbox" displayName="R6Mailbox" ref="A1:Z12" headerRowCount="1">
  <autoFilter ref="A1:Z12"/>
  <tableColumns count="26">
    <tableColumn id="1" name="id"/>
    <tableColumn id="2" name="kind"/>
    <tableColumn id="3" name="evidence_class"/>
    <tableColumn id="4" name="privacy_class"/>
    <tableColumn id="5" name="provenance"/>
    <tableColumn id="6" name="claim"/>
    <tableColumn id="7" name="methods_examined"/>
    <tableColumn id="8" name="methods_infrastructure_free"/>
    <tableColumn id="9" name="status"/>
    <tableColumn id="10" name="verdict"/>
    <tableColumn id="11" name="claim_ceiling"/>
    <tableColumn id="12" name="method"/>
    <tableColumn id="13" name="external_dependencies"/>
    <tableColumn id="14" name="dependencies"/>
    <tableColumn id="15" name="infrastructure_free"/>
    <tableColumn id="16" name="jacobian_rank"/>
    <tableColumn id="17" name="position_dof"/>
    <tableColumn id="18" name="unobservable_dof"/>
    <tableColumn id="19" name="note"/>
    <tableColumn id="20" name="au_m"/>
    <tableColumn id="21" name="lab_extent_m"/>
    <tableColumn id="22" name="ratio"/>
    <tableColumn id="23" name="operation"/>
    <tableColumn id="24" name="result"/>
    <tableColumn id="25" name="reason"/>
    <tableColumn id="26" name="collapse"/>
  </tableColumns>
  <tableStyleInfo name="TableStyleLight9" showRowStripes="0"/>
</table>
</file>

<file path=xl/tables/table30.xml><?xml version="1.0" encoding="utf-8"?>
<table xmlns="http://schemas.openxmlformats.org/spreadsheetml/2006/main" id="30" name="R6Grid" displayName="R6Grid" ref="A1:AB8" headerRowCount="1">
  <autoFilter ref="A1:AB8"/>
  <tableColumns count="28">
    <tableColumn id="1" name="id"/>
    <tableColumn id="2" name="kind"/>
    <tableColumn id="3" name="evidence_class"/>
    <tableColumn id="4" name="privacy_class"/>
    <tableColumn id="5" name="provenance"/>
    <tableColumn id="6" name="group"/>
    <tableColumn id="7" name="degrees"/>
    <tableColumn id="8" name="observed_best_score"/>
    <tableColumn id="9" name="selection_null_mean"/>
    <tableColumn id="10" name="degree_matched_null_mean"/>
    <tableColumn id="11" name="rotation_null_mean"/>
    <tableColumn id="12" name="p_vs_selection_null"/>
    <tableColumn id="13" name="significant_after_holm"/>
    <tableColumn id="14" name="field_family"/>
    <tableColumn id="15" name="planetary_status"/>
    <tableColumn id="16" name="any_real_field"/>
    <tableColumn id="17" name="gravity_model"/>
    <tableColumn id="18" name="geomagnetic_model"/>
    <tableColumn id="19" name="topography"/>
    <tableColumn id="20" name="status"/>
    <tableColumn id="21" name="claim_ceiling"/>
    <tableColumn id="22" name="verdict"/>
    <tableColumn id="23" name="degree"/>
    <tableColumn id="24" name="invariant_dimension"/>
    <tableColumn id="25" name="max_idempotency_error"/>
    <tableColumn id="26" name="max_hermiticity_error"/>
    <tableColumn id="27" name="ok"/>
    <tableColumn id="28" name="note"/>
  </tableColumns>
  <tableStyleInfo name="TableStyleLight9" showRowStripes="0"/>
</table>
</file>

<file path=xl/tables/table31.xml><?xml version="1.0" encoding="utf-8"?>
<table xmlns="http://schemas.openxmlformats.org/spreadsheetml/2006/main" id="31" name="R6Instruments" displayName="R6Instruments" ref="A1:P3" headerRowCount="1">
  <autoFilter ref="A1:P3"/>
  <tableColumns count="16">
    <tableColumn id="1" name="id"/>
    <tableColumn id="2" name="kind"/>
    <tableColumn id="3" name="evidence_class"/>
    <tableColumn id="4" name="privacy_class"/>
    <tableColumn id="5" name="provenance"/>
    <tableColumn id="6" name="n_channels"/>
    <tableColumn id="7" name="n_instruments"/>
    <tableColumn id="8" name="channels_covered"/>
    <tableColumn id="9" name="channels_missing"/>
    <tableColumn id="10" name="complete"/>
    <tableColumn id="11" name="uncalibrated_devices"/>
    <tableColumn id="12" name="note"/>
    <tableColumn id="13" name="claimed_quantity"/>
    <tableColumn id="14" name="calibration_status"/>
    <tableColumn id="15" name="covers_any_channel"/>
    <tableColumn id="16" name="reason"/>
  </tableColumns>
  <tableStyleInfo name="TableStyleLight9" showRowStripes="0"/>
</table>
</file>

<file path=xl/tables/table32.xml><?xml version="1.0" encoding="utf-8"?>
<table xmlns="http://schemas.openxmlformats.org/spreadsheetml/2006/main" id="32" name="R6Governance" displayName="R6Governance" ref="A1:AB10" headerRowCount="1">
  <autoFilter ref="A1:AB10"/>
  <tableColumns count="28">
    <tableColumn id="1" name="id"/>
    <tableColumn id="2" name="kind"/>
    <tableColumn id="3" name="evidence_class"/>
    <tableColumn id="4" name="privacy_class"/>
    <tableColumn id="5" name="provenance"/>
    <tableColumn id="6" name="maturity"/>
    <tableColumn id="7" name="maturity_ceiling"/>
    <tableColumn id="8" name="implementations"/>
    <tableColumn id="9" name="independent_implementations"/>
    <tableColumn id="10" name="authors"/>
    <tableColumn id="11" name="public_specification"/>
    <tableColumn id="12" name="independent_governance_body"/>
    <tableColumn id="13" name="governance_process"/>
    <tableColumn id="14" name="single_vendor_lock"/>
    <tableColumn id="15" name="adoption"/>
    <tableColumn id="16" name="security_review"/>
    <tableColumn id="17" name="note"/>
    <tableColumn id="18" name="gates_total"/>
    <tableColumn id="19" name="gates_open"/>
    <tableColumn id="20" name="gates_missing"/>
    <tableColumn id="21" name="ready_for_bench"/>
    <tableColumn id="22" name="status"/>
    <tableColumn id="23" name="hazards_refused"/>
    <tableColumn id="24" name="statement"/>
    <tableColumn id="25" name="next_real_step"/>
    <tableColumn id="26" name="hazard"/>
    <tableColumn id="27" name="description"/>
    <tableColumn id="28" name="control"/>
  </tableColumns>
  <tableStyleInfo name="TableStyleLight9" showRowStripes="0"/>
</table>
</file>

<file path=xl/tables/table33.xml><?xml version="1.0" encoding="utf-8"?>
<table xmlns="http://schemas.openxmlformats.org/spreadsheetml/2006/main" id="33" name="R7CW" displayName="R7CW" ref="A1:AC9" headerRowCount="1">
  <autoFilter ref="A1:AC9"/>
  <tableColumns count="29">
    <tableColumn id="1" name="id"/>
    <tableColumn id="2" name="kind"/>
    <tableColumn id="3" name="evidence_class"/>
    <tableColumn id="4" name="privacy_class"/>
    <tableColumn id="5" name="provenance"/>
    <tableColumn id="6" name="claim"/>
    <tableColumn id="7" name="status"/>
    <tableColumn id="8" name="forced_common_bits"/>
    <tableColumn id="9" name="observed_common_bits"/>
    <tableColumn id="10" name="informative_bits"/>
    <tableColumn id="11" name="header_is_forced_by_span"/>
    <tableColumn id="12" name="null_3x12_p_both"/>
    <tableColumn id="13" name="null_6x6_p_both"/>
    <tableColumn id="14" name="verdict"/>
    <tableColumn id="15" name="ceiling"/>
    <tableColumn id="16" name="source_string"/>
    <tableColumn id="17" name="value"/>
    <tableColumn id="18" name="bit_length"/>
    <tableColumn id="19" name="header_3x12"/>
    <tableColumn id="20" name="field1_3x12"/>
    <tableColumn id="21" name="field2_3x12"/>
    <tableColumn id="22" name="field3_3x12"/>
    <tableColumn id="23" name="note"/>
    <tableColumn id="24" name="parse"/>
    <tableColumn id="25" name="header_bits"/>
    <tableColumn id="26" name="field_bits"/>
    <tableColumn id="27" name="n_fields"/>
    <tableColumn id="28" name="digest"/>
    <tableColumn id="29" name="semantics_declared"/>
  </tableColumns>
  <tableStyleInfo name="TableStyleLight9" showRowStripes="0"/>
</table>
</file>

<file path=xl/tables/table34.xml><?xml version="1.0" encoding="utf-8"?>
<table xmlns="http://schemas.openxmlformats.org/spreadsheetml/2006/main" id="34" name="R7Gravity" displayName="R7Gravity" ref="A1:U6" headerRowCount="1">
  <autoFilter ref="A1:U6"/>
  <tableColumns count="21">
    <tableColumn id="1" name="id"/>
    <tableColumn id="2" name="kind"/>
    <tableColumn id="3" name="evidence_class"/>
    <tableColumn id="4" name="privacy_class"/>
    <tableColumn id="5" name="provenance"/>
    <tableColumn id="6" name="configuration"/>
    <tableColumn id="7" name="total_energy_j"/>
    <tableColumn id="8" name="equivalent_mass_kg"/>
    <tableColumn id="9" name="predicted_fractional_shift"/>
    <tableColumn id="10" name="predicted_acceleration_ms2"/>
    <tableColumn id="11" name="clock_gap_decades"/>
    <tableColumn id="12" name="acceleration_gap_decades"/>
    <tableColumn id="13" name="status"/>
    <tableColumn id="14" name="note"/>
    <tableColumn id="15" name="all_refused"/>
    <tableColumn id="16" name="configurations_refused"/>
    <tableColumn id="17" name="reference_1mm_height_shift"/>
    <tableColumn id="18" name="ratio_1mm_lift_over_best_apparatus"/>
    <tableColumn id="19" name="verdict"/>
    <tableColumn id="20" name="consequence"/>
    <tableColumn id="21" name="what_this_does_not_say"/>
  </tableColumns>
  <tableStyleInfo name="TableStyleLight9" showRowStripes="0"/>
</table>
</file>

<file path=xl/tables/table35.xml><?xml version="1.0" encoding="utf-8"?>
<table xmlns="http://schemas.openxmlformats.org/spreadsheetml/2006/main" id="35" name="R7ClockLink" displayName="R7ClockLink" ref="A1:S18" headerRowCount="1">
  <autoFilter ref="A1:S18"/>
  <tableColumns count="19">
    <tableColumn id="1" name="id"/>
    <tableColumn id="2" name="kind"/>
    <tableColumn id="3" name="evidence_class"/>
    <tableColumn id="4" name="privacy_class"/>
    <tableColumn id="5" name="provenance"/>
    <tableColumn id="6" name="oscillator"/>
    <tableColumn id="7" name="link"/>
    <tableColumn id="8" name="target_height_m"/>
    <tableColumn id="9" name="target_fractional"/>
    <tableColumn id="10" name="combined_floor"/>
    <tableColumn id="11" name="limiter"/>
    <tableColumn id="12" name="resolvable"/>
    <tableColumn id="13" name="tau_required_years"/>
    <tableColumn id="14" name="status"/>
    <tableColumn id="15" name="consumer_quartz_unresolvable"/>
    <tableColumn id="16" name="link_limited_pairings"/>
    <tableColumn id="17" name="claim_ceiling"/>
    <tableColumn id="18" name="bottleneck_note"/>
    <tableColumn id="19" name="why_run_it_anyway"/>
  </tableColumns>
  <tableStyleInfo name="TableStyleLight9" showRowStripes="0"/>
</table>
</file>

<file path=xl/tables/table36.xml><?xml version="1.0" encoding="utf-8"?>
<table xmlns="http://schemas.openxmlformats.org/spreadsheetml/2006/main" id="36" name="R7Governance" displayName="R7Governance" ref="A1:U6" headerRowCount="1">
  <autoFilter ref="A1:U6"/>
  <tableColumns count="21">
    <tableColumn id="1" name="id"/>
    <tableColumn id="2" name="kind"/>
    <tableColumn id="3" name="evidence_class"/>
    <tableColumn id="4" name="privacy_class"/>
    <tableColumn id="5" name="provenance"/>
    <tableColumn id="6" name="path"/>
    <tableColumn id="7" name="signed_by"/>
    <tableColumn id="8" name="signed_at"/>
    <tableColumn id="9" name="digest"/>
    <tableColumn id="10" name="complete"/>
    <tableColumn id="11" name="reversible"/>
    <tableColumn id="12" name="authorized_to_publish"/>
    <tableColumn id="13" name="status"/>
    <tableColumn id="14" name="note"/>
    <tableColumn id="15" name="provides"/>
    <tableColumn id="16" name="does_not_provide"/>
    <tableColumn id="17" name="why_it_matters"/>
    <tableColumn id="18" name="preserves_patent_rights"/>
    <tableColumn id="19" name="creates_public_prior_art"/>
    <tableColumn id="20" name="forecloses"/>
    <tableColumn id="21" name="cost"/>
  </tableColumns>
  <tableStyleInfo name="TableStyleLight9"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3.xml.rels><Relationships xmlns="http://schemas.openxmlformats.org/package/2006/relationships"><Relationship Type="http://schemas.openxmlformats.org/officeDocument/2006/relationships/table" Target="/xl/tables/table11.xml" Id="rId1" /></Relationships>
</file>

<file path=xl/worksheets/_rels/sheet14.xml.rels><Relationships xmlns="http://schemas.openxmlformats.org/package/2006/relationships"><Relationship Type="http://schemas.openxmlformats.org/officeDocument/2006/relationships/table" Target="/xl/tables/table12.xml" Id="rId1" /></Relationships>
</file>

<file path=xl/worksheets/_rels/sheet15.xml.rels><Relationships xmlns="http://schemas.openxmlformats.org/package/2006/relationships"><Relationship Type="http://schemas.openxmlformats.org/officeDocument/2006/relationships/table" Target="/xl/tables/table13.xml" Id="rId1" /></Relationships>
</file>

<file path=xl/worksheets/_rels/sheet16.xml.rels><Relationships xmlns="http://schemas.openxmlformats.org/package/2006/relationships"><Relationship Type="http://schemas.openxmlformats.org/officeDocument/2006/relationships/table" Target="/xl/tables/table14.xml" Id="rId1" /></Relationships>
</file>

<file path=xl/worksheets/_rels/sheet17.xml.rels><Relationships xmlns="http://schemas.openxmlformats.org/package/2006/relationships"><Relationship Type="http://schemas.openxmlformats.org/officeDocument/2006/relationships/table" Target="/xl/tables/table15.xml" Id="rId1" /></Relationships>
</file>

<file path=xl/worksheets/_rels/sheet18.xml.rels><Relationships xmlns="http://schemas.openxmlformats.org/package/2006/relationships"><Relationship Type="http://schemas.openxmlformats.org/officeDocument/2006/relationships/table" Target="/xl/tables/table16.xml" Id="rId1" /></Relationships>
</file>

<file path=xl/worksheets/_rels/sheet19.xml.rels><Relationships xmlns="http://schemas.openxmlformats.org/package/2006/relationships"><Relationship Type="http://schemas.openxmlformats.org/officeDocument/2006/relationships/table" Target="/xl/tables/table17.xml" Id="rId1" /></Relationships>
</file>

<file path=xl/worksheets/_rels/sheet20.xml.rels><Relationships xmlns="http://schemas.openxmlformats.org/package/2006/relationships"><Relationship Type="http://schemas.openxmlformats.org/officeDocument/2006/relationships/table" Target="/xl/tables/table18.xml" Id="rId1" /></Relationships>
</file>

<file path=xl/worksheets/_rels/sheet21.xml.rels><Relationships xmlns="http://schemas.openxmlformats.org/package/2006/relationships"><Relationship Type="http://schemas.openxmlformats.org/officeDocument/2006/relationships/table" Target="/xl/tables/table19.xml" Id="rId1" /></Relationships>
</file>

<file path=xl/worksheets/_rels/sheet22.xml.rels><Relationships xmlns="http://schemas.openxmlformats.org/package/2006/relationships"><Relationship Type="http://schemas.openxmlformats.org/officeDocument/2006/relationships/table" Target="/xl/tables/table20.xml" Id="rId1" /></Relationships>
</file>

<file path=xl/worksheets/_rels/sheet23.xml.rels><Relationships xmlns="http://schemas.openxmlformats.org/package/2006/relationships"><Relationship Type="http://schemas.openxmlformats.org/officeDocument/2006/relationships/table" Target="/xl/tables/table21.xml" Id="rId1" /></Relationships>
</file>

<file path=xl/worksheets/_rels/sheet24.xml.rels><Relationships xmlns="http://schemas.openxmlformats.org/package/2006/relationships"><Relationship Type="http://schemas.openxmlformats.org/officeDocument/2006/relationships/table" Target="/xl/tables/table22.xml" Id="rId1" /></Relationships>
</file>

<file path=xl/worksheets/_rels/sheet25.xml.rels><Relationships xmlns="http://schemas.openxmlformats.org/package/2006/relationships"><Relationship Type="http://schemas.openxmlformats.org/officeDocument/2006/relationships/table" Target="/xl/tables/table23.xml" Id="rId1" /></Relationships>
</file>

<file path=xl/worksheets/_rels/sheet26.xml.rels><Relationships xmlns="http://schemas.openxmlformats.org/package/2006/relationships"><Relationship Type="http://schemas.openxmlformats.org/officeDocument/2006/relationships/table" Target="/xl/tables/table24.xml" Id="rId1" /></Relationships>
</file>

<file path=xl/worksheets/_rels/sheet27.xml.rels><Relationships xmlns="http://schemas.openxmlformats.org/package/2006/relationships"><Relationship Type="http://schemas.openxmlformats.org/officeDocument/2006/relationships/table" Target="/xl/tables/table25.xml" Id="rId1" /></Relationships>
</file>

<file path=xl/worksheets/_rels/sheet28.xml.rels><Relationships xmlns="http://schemas.openxmlformats.org/package/2006/relationships"><Relationship Type="http://schemas.openxmlformats.org/officeDocument/2006/relationships/table" Target="/xl/tables/table26.xml" Id="rId1" /></Relationships>
</file>

<file path=xl/worksheets/_rels/sheet29.xml.rels><Relationships xmlns="http://schemas.openxmlformats.org/package/2006/relationships"><Relationship Type="http://schemas.openxmlformats.org/officeDocument/2006/relationships/table" Target="/xl/tables/table27.xml" Id="rId1" /></Relationships>
</file>

<file path=xl/worksheets/_rels/sheet30.xml.rels><Relationships xmlns="http://schemas.openxmlformats.org/package/2006/relationships"><Relationship Type="http://schemas.openxmlformats.org/officeDocument/2006/relationships/table" Target="/xl/tables/table28.xml" Id="rId1" /></Relationships>
</file>

<file path=xl/worksheets/_rels/sheet31.xml.rels><Relationships xmlns="http://schemas.openxmlformats.org/package/2006/relationships"><Relationship Type="http://schemas.openxmlformats.org/officeDocument/2006/relationships/table" Target="/xl/tables/table29.xml" Id="rId1" /></Relationships>
</file>

<file path=xl/worksheets/_rels/sheet32.xml.rels><Relationships xmlns="http://schemas.openxmlformats.org/package/2006/relationships"><Relationship Type="http://schemas.openxmlformats.org/officeDocument/2006/relationships/table" Target="/xl/tables/table30.xml" Id="rId1" /></Relationships>
</file>

<file path=xl/worksheets/_rels/sheet33.xml.rels><Relationships xmlns="http://schemas.openxmlformats.org/package/2006/relationships"><Relationship Type="http://schemas.openxmlformats.org/officeDocument/2006/relationships/table" Target="/xl/tables/table31.xml" Id="rId1" /></Relationships>
</file>

<file path=xl/worksheets/_rels/sheet34.xml.rels><Relationships xmlns="http://schemas.openxmlformats.org/package/2006/relationships"><Relationship Type="http://schemas.openxmlformats.org/officeDocument/2006/relationships/table" Target="/xl/tables/table32.xml" Id="rId1" /></Relationships>
</file>

<file path=xl/worksheets/_rels/sheet35.xml.rels><Relationships xmlns="http://schemas.openxmlformats.org/package/2006/relationships"><Relationship Type="http://schemas.openxmlformats.org/officeDocument/2006/relationships/table" Target="/xl/tables/table33.xml" Id="rId1" /></Relationships>
</file>

<file path=xl/worksheets/_rels/sheet36.xml.rels><Relationships xmlns="http://schemas.openxmlformats.org/package/2006/relationships"><Relationship Type="http://schemas.openxmlformats.org/officeDocument/2006/relationships/table" Target="/xl/tables/table34.xml" Id="rId1" /></Relationships>
</file>

<file path=xl/worksheets/_rels/sheet37.xml.rels><Relationships xmlns="http://schemas.openxmlformats.org/package/2006/relationships"><Relationship Type="http://schemas.openxmlformats.org/officeDocument/2006/relationships/table" Target="/xl/tables/table35.xml" Id="rId1" /></Relationships>
</file>

<file path=xl/worksheets/_rels/sheet38.xml.rels><Relationships xmlns="http://schemas.openxmlformats.org/package/2006/relationships"><Relationship Type="http://schemas.openxmlformats.org/officeDocument/2006/relationships/table" Target="/xl/tables/table36.xml" Id="rId1" /></Relationships>
</file>

<file path=xl/worksheets/sheet1.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34" customWidth="1" min="1" max="1"/>
    <col width="12" customWidth="1" min="2" max="2"/>
  </cols>
  <sheetData>
    <row r="1">
      <c r="A1" s="1" t="inlineStr">
        <is>
          <t>RGCS Master Evidence Workbook</t>
        </is>
      </c>
    </row>
    <row r="2">
      <c r="A2" t="inlineStr">
        <is>
          <t>Schema 1.0.0 · RGCS v8.1.0 · generated from canonical repository data</t>
        </is>
      </c>
    </row>
    <row r="3">
      <c r="A3" s="2" t="inlineStr">
        <is>
          <t>Lore proposes. Mathematics translates. Software attacks. Evidence decides. Provenance remembers.</t>
        </is>
      </c>
    </row>
    <row r="5">
      <c r="A5" s="3" t="inlineStr">
        <is>
          <t>CLAIM BOUNDARY: this workbook shows arithmetic, analytic models, simulations, and synthetic runs. It does NOT claim any physical crystal resonance, the Eye hypothesis, or any anomalous channel is validated. The purchased specimen is PREARRIVAL, unmeasured.</t>
        </is>
      </c>
    </row>
    <row r="6"/>
    <row r="7"/>
    <row r="9">
      <c r="A9" s="4" t="inlineStr">
        <is>
          <t>Registry</t>
        </is>
      </c>
      <c r="B9" s="4" t="inlineStr">
        <is>
          <t>Rows</t>
        </is>
      </c>
    </row>
    <row r="10">
      <c r="A10" t="inlineStr">
        <is>
          <t>corrections</t>
        </is>
      </c>
      <c r="B10" t="n">
        <v>10</v>
      </c>
    </row>
    <row r="11">
      <c r="A11" t="inlineStr">
        <is>
          <t>cspc_candidates</t>
        </is>
      </c>
      <c r="B11" t="n">
        <v>17</v>
      </c>
    </row>
    <row r="12">
      <c r="A12" t="inlineStr">
        <is>
          <t>cspc_experiments</t>
        </is>
      </c>
      <c r="B12" t="n">
        <v>2</v>
      </c>
    </row>
    <row r="13">
      <c r="A13" t="inlineStr">
        <is>
          <t>cspc_spacetime</t>
        </is>
      </c>
      <c r="B13" t="n">
        <v>6</v>
      </c>
    </row>
    <row r="14">
      <c r="A14" t="inlineStr">
        <is>
          <t>cspc_tetrahedron</t>
        </is>
      </c>
      <c r="B14" t="n">
        <v>5</v>
      </c>
    </row>
    <row r="15">
      <c r="A15" t="inlineStr">
        <is>
          <t>experiment_queue</t>
        </is>
      </c>
      <c r="B15" t="n">
        <v>8</v>
      </c>
    </row>
    <row r="16">
      <c r="A16" t="inlineStr">
        <is>
          <t>eye_results</t>
        </is>
      </c>
      <c r="B16" t="n">
        <v>2</v>
      </c>
    </row>
    <row r="17">
      <c r="A17" t="inlineStr">
        <is>
          <t>frequency_keys</t>
        </is>
      </c>
      <c r="B17" t="n">
        <v>12</v>
      </c>
    </row>
    <row r="18">
      <c r="A18" t="inlineStr">
        <is>
          <t>hardware_bom</t>
        </is>
      </c>
      <c r="B18" t="n">
        <v>8</v>
      </c>
    </row>
    <row r="19">
      <c r="A19" t="inlineStr">
        <is>
          <t>harmonic_relations</t>
        </is>
      </c>
      <c r="B19" t="n">
        <v>7</v>
      </c>
    </row>
    <row r="20">
      <c r="A20" t="inlineStr">
        <is>
          <t>hypotheses</t>
        </is>
      </c>
      <c r="B20" t="n">
        <v>6</v>
      </c>
    </row>
    <row r="21">
      <c r="A21" t="inlineStr">
        <is>
          <t>installer_metadata</t>
        </is>
      </c>
      <c r="B21" t="n">
        <v>1</v>
      </c>
    </row>
    <row r="22">
      <c r="A22" t="inlineStr">
        <is>
          <t>lore_registry</t>
        </is>
      </c>
      <c r="B22" t="n">
        <v>1</v>
      </c>
    </row>
    <row r="23">
      <c r="A23" t="inlineStr">
        <is>
          <t>mode_estimates</t>
        </is>
      </c>
      <c r="B23" t="n">
        <v>1</v>
      </c>
    </row>
    <row r="24">
      <c r="A24" t="inlineStr">
        <is>
          <t>pmwr_crystal</t>
        </is>
      </c>
      <c r="B24" t="n">
        <v>7</v>
      </c>
    </row>
    <row r="25">
      <c r="A25" t="inlineStr">
        <is>
          <t>pmwr_phryll</t>
        </is>
      </c>
      <c r="B25" t="n">
        <v>14</v>
      </c>
    </row>
    <row r="26">
      <c r="A26" t="inlineStr">
        <is>
          <t>pmwr_recovery</t>
        </is>
      </c>
      <c r="B26" t="n">
        <v>4</v>
      </c>
    </row>
    <row r="27">
      <c r="A27" t="inlineStr">
        <is>
          <t>r3_lanes</t>
        </is>
      </c>
      <c r="B27" t="n">
        <v>4</v>
      </c>
    </row>
    <row r="28">
      <c r="A28" t="inlineStr">
        <is>
          <t>r3_root_space</t>
        </is>
      </c>
      <c r="B28" t="n">
        <v>14</v>
      </c>
    </row>
    <row r="29">
      <c r="A29" t="inlineStr">
        <is>
          <t>r4_codec</t>
        </is>
      </c>
      <c r="B29" t="n">
        <v>9</v>
      </c>
    </row>
    <row r="30">
      <c r="A30" t="inlineStr">
        <is>
          <t>r4_platforms</t>
        </is>
      </c>
      <c r="B30" t="n">
        <v>16</v>
      </c>
    </row>
    <row r="31">
      <c r="A31" t="inlineStr">
        <is>
          <t>r6_apparatus</t>
        </is>
      </c>
      <c r="B31" t="n">
        <v>3</v>
      </c>
    </row>
    <row r="32">
      <c r="A32" t="inlineStr">
        <is>
          <t>r6_claims</t>
        </is>
      </c>
      <c r="B32" t="n">
        <v>28</v>
      </c>
    </row>
    <row r="33">
      <c r="A33" t="inlineStr">
        <is>
          <t>r6_governance</t>
        </is>
      </c>
      <c r="B33" t="n">
        <v>9</v>
      </c>
    </row>
    <row r="34">
      <c r="A34" t="inlineStr">
        <is>
          <t>r6_grid</t>
        </is>
      </c>
      <c r="B34" t="n">
        <v>7</v>
      </c>
    </row>
    <row r="35">
      <c r="A35" t="inlineStr">
        <is>
          <t>r6_instruments</t>
        </is>
      </c>
      <c r="B35" t="n">
        <v>2</v>
      </c>
    </row>
    <row r="36">
      <c r="A36" t="inlineStr">
        <is>
          <t>r6_mailbox</t>
        </is>
      </c>
      <c r="B36" t="n">
        <v>11</v>
      </c>
    </row>
    <row r="37">
      <c r="A37" t="inlineStr">
        <is>
          <t>r6_witness</t>
        </is>
      </c>
      <c r="B37" t="n">
        <v>4</v>
      </c>
    </row>
    <row r="38">
      <c r="A38" t="inlineStr">
        <is>
          <t>r7_clocklink</t>
        </is>
      </c>
      <c r="B38" t="n">
        <v>17</v>
      </c>
    </row>
    <row r="39">
      <c r="A39" t="inlineStr">
        <is>
          <t>r7_cw</t>
        </is>
      </c>
      <c r="B39" t="n">
        <v>8</v>
      </c>
    </row>
    <row r="40">
      <c r="A40" t="inlineStr">
        <is>
          <t>r7_governance</t>
        </is>
      </c>
      <c r="B40" t="n">
        <v>5</v>
      </c>
    </row>
    <row r="41">
      <c r="A41" t="inlineStr">
        <is>
          <t>r7_gravity</t>
        </is>
      </c>
      <c r="B41" t="n">
        <v>5</v>
      </c>
    </row>
    <row r="42">
      <c r="A42" t="inlineStr">
        <is>
          <t>resonator_platform</t>
        </is>
      </c>
      <c r="B42" t="n">
        <v>1</v>
      </c>
    </row>
    <row r="43">
      <c r="A43" t="inlineStr">
        <is>
          <t>source_registry</t>
        </is>
      </c>
      <c r="B43" t="n">
        <v>5</v>
      </c>
    </row>
    <row r="44">
      <c r="A44" t="inlineStr">
        <is>
          <t>specimens</t>
        </is>
      </c>
      <c r="B44" t="n">
        <v>1</v>
      </c>
    </row>
    <row r="45">
      <c r="A45" t="inlineStr">
        <is>
          <t>timing_recipes</t>
        </is>
      </c>
      <c r="B45" t="n">
        <v>11</v>
      </c>
    </row>
    <row r="46">
      <c r="A46" s="4" t="inlineStr">
        <is>
          <t>TOTAL</t>
        </is>
      </c>
      <c r="B46" s="4">
        <f>SUM(B10:B45)</f>
        <v/>
      </c>
    </row>
    <row r="48">
      <c r="A48" s="4" t="inlineStr">
        <is>
          <t>Evidence classes (weakest -&gt; strongest):</t>
        </is>
      </c>
    </row>
    <row r="49">
      <c r="A49" s="5" t="inlineStr">
        <is>
          <t>LORE</t>
        </is>
      </c>
    </row>
    <row r="50">
      <c r="A50" s="6" t="inlineStr">
        <is>
          <t>SOURCE_CLAIM</t>
        </is>
      </c>
    </row>
    <row r="51">
      <c r="A51" s="7" t="inlineStr">
        <is>
          <t>DERIVED_ARITHMETIC</t>
        </is>
      </c>
    </row>
    <row r="52">
      <c r="A52" s="8" t="inlineStr">
        <is>
          <t>ANALYTIC_MODEL</t>
        </is>
      </c>
    </row>
    <row r="53">
      <c r="A53" s="9" t="inlineStr">
        <is>
          <t>NUMERICAL_SIMULATION</t>
        </is>
      </c>
    </row>
    <row r="54">
      <c r="A54" s="10" t="inlineStr">
        <is>
          <t>SYNTHETIC_RUN</t>
        </is>
      </c>
    </row>
    <row r="55">
      <c r="A55" s="11" t="inlineStr">
        <is>
          <t>BENCH_MEASUREMENT</t>
        </is>
      </c>
    </row>
    <row r="56">
      <c r="A56" s="12" t="inlineStr">
        <is>
          <t>INDEPENDENT_REPLICATION</t>
        </is>
      </c>
    </row>
    <row r="57">
      <c r="A57" s="13" t="inlineStr">
        <is>
          <t>UNSUPPORTED</t>
        </is>
      </c>
    </row>
    <row r="58">
      <c r="A58" s="14" t="inlineStr">
        <is>
          <t>NOT_APPLICABLE</t>
        </is>
      </c>
    </row>
    <row r="59">
      <c r="A59" s="15" t="inlineStr">
        <is>
          <t>METAPHOR</t>
        </is>
      </c>
    </row>
    <row r="60">
      <c r="A60" s="16" t="inlineStr">
        <is>
          <t>GEOMETRY_IDENTITY</t>
        </is>
      </c>
    </row>
    <row r="61">
      <c r="A61" s="17" t="inlineStr">
        <is>
          <t>CALIBRATED_MEASUREMENT</t>
        </is>
      </c>
    </row>
    <row r="62">
      <c r="A62" s="18" t="inlineStr">
        <is>
          <t>ANTHROPOGENIC_STRUCTURE</t>
        </is>
      </c>
    </row>
    <row r="63">
      <c r="A63" s="19" t="inlineStr">
        <is>
          <t>REPRESENTATION_ARTIFACT</t>
        </is>
      </c>
    </row>
    <row r="64">
      <c r="A64" s="20" t="inlineStr">
        <is>
          <t>CIRCULAR_DERIVATION</t>
        </is>
      </c>
    </row>
    <row r="65">
      <c r="A65" s="21" t="inlineStr">
        <is>
          <t>UNEXPLAINED_INSTRUMENT_RESIDUAL</t>
        </is>
      </c>
    </row>
    <row r="66">
      <c r="A66" s="22" t="inlineStr">
        <is>
          <t>REPLICATED_ANOMALY</t>
        </is>
      </c>
    </row>
    <row r="67">
      <c r="A67" s="23" t="inlineStr">
        <is>
          <t>PROSPECTIVE_PREDICTION</t>
        </is>
      </c>
    </row>
    <row r="68">
      <c r="A68" s="24" t="inlineStr">
        <is>
          <t>OPERATIONAL_HYPOTHESIS</t>
        </is>
      </c>
    </row>
    <row r="69">
      <c r="A69" s="25" t="inlineStr">
        <is>
          <t>ORDINARY_CHANNEL_RESULT</t>
        </is>
      </c>
    </row>
    <row r="70">
      <c r="A70" s="26" t="inlineStr">
        <is>
          <t>CANDIDATE_NEW_MECHANISM</t>
        </is>
      </c>
    </row>
  </sheetData>
  <mergeCells count="1">
    <mergeCell ref="A5:H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20" customWidth="1" min="3" max="3"/>
    <col width="15" customWidth="1" min="4" max="4"/>
    <col width="43" customWidth="1" min="5" max="5"/>
    <col width="10" customWidth="1" min="6" max="6"/>
    <col width="10" customWidth="1" min="7" max="7"/>
    <col width="22" customWidth="1" min="8" max="8"/>
    <col width="26" customWidth="1" min="9" max="9"/>
  </cols>
  <sheetData>
    <row r="1">
      <c r="A1" s="27" t="inlineStr">
        <is>
          <t>id</t>
        </is>
      </c>
      <c r="B1" s="27" t="inlineStr">
        <is>
          <t>kind</t>
        </is>
      </c>
      <c r="C1" s="27" t="inlineStr">
        <is>
          <t>evidence_class</t>
        </is>
      </c>
      <c r="D1" s="27" t="inlineStr">
        <is>
          <t>privacy_class</t>
        </is>
      </c>
      <c r="E1" s="27" t="inlineStr">
        <is>
          <t>provenance</t>
        </is>
      </c>
      <c r="F1" s="27" t="inlineStr">
        <is>
          <t>hz</t>
        </is>
      </c>
      <c r="G1" s="27" t="inlineStr">
        <is>
          <t>hz_float</t>
        </is>
      </c>
      <c r="H1" s="27" t="inlineStr">
        <is>
          <t>status</t>
        </is>
      </c>
      <c r="I1" s="27" t="inlineStr">
        <is>
          <t>tags</t>
        </is>
      </c>
    </row>
    <row r="2">
      <c r="A2" s="7" t="inlineStr">
        <is>
          <t>FKEY-8HZ</t>
        </is>
      </c>
      <c r="B2" s="7" t="inlineStr">
        <is>
          <t>frequency_key</t>
        </is>
      </c>
      <c r="C2" s="7" t="inlineStr">
        <is>
          <t>DERIVED_ARITHMETIC</t>
        </is>
      </c>
      <c r="D2" s="7" t="inlineStr">
        <is>
          <t>PUBLIC</t>
        </is>
      </c>
      <c r="E2" s="7" t="inlineStr">
        <is>
          <t>pack seed data (frequency_keys_seed.json)</t>
        </is>
      </c>
      <c r="F2" s="7" t="inlineStr">
        <is>
          <t>8</t>
        </is>
      </c>
      <c r="G2" s="7" t="n">
        <v>8</v>
      </c>
      <c r="H2" s="7" t="inlineStr">
        <is>
          <t>REGISTERED_CANDIDATE</t>
        </is>
      </c>
      <c r="I2" s="7" t="inlineStr">
        <is>
          <t>base,modulation</t>
        </is>
      </c>
    </row>
    <row r="3">
      <c r="A3" s="7" t="inlineStr">
        <is>
          <t>FKEY-20_48HZ</t>
        </is>
      </c>
      <c r="B3" s="7" t="inlineStr">
        <is>
          <t>frequency_key</t>
        </is>
      </c>
      <c r="C3" s="7" t="inlineStr">
        <is>
          <t>DERIVED_ARITHMETIC</t>
        </is>
      </c>
      <c r="D3" s="7" t="inlineStr">
        <is>
          <t>PUBLIC</t>
        </is>
      </c>
      <c r="E3" s="7" t="inlineStr">
        <is>
          <t>pack seed data (frequency_keys_seed.json)</t>
        </is>
      </c>
      <c r="F3" s="7" t="inlineStr">
        <is>
          <t>512/25</t>
        </is>
      </c>
      <c r="G3" s="7" t="n">
        <v>20.48</v>
      </c>
      <c r="H3" s="7" t="inlineStr">
        <is>
          <t>REGISTERED_CANDIDATE</t>
        </is>
      </c>
      <c r="I3" s="7" t="inlineStr">
        <is>
          <t>modulation,binary-family</t>
        </is>
      </c>
    </row>
    <row r="4">
      <c r="A4" s="7" t="inlineStr">
        <is>
          <t>FKEY-40_96HZ</t>
        </is>
      </c>
      <c r="B4" s="7" t="inlineStr">
        <is>
          <t>frequency_key</t>
        </is>
      </c>
      <c r="C4" s="7" t="inlineStr">
        <is>
          <t>DERIVED_ARITHMETIC</t>
        </is>
      </c>
      <c r="D4" s="7" t="inlineStr">
        <is>
          <t>PUBLIC</t>
        </is>
      </c>
      <c r="E4" s="7" t="inlineStr">
        <is>
          <t>pack seed data (frequency_keys_seed.json)</t>
        </is>
      </c>
      <c r="F4" s="7" t="inlineStr">
        <is>
          <t>1024/25</t>
        </is>
      </c>
      <c r="G4" s="7" t="n">
        <v>40.96</v>
      </c>
      <c r="H4" s="7" t="inlineStr">
        <is>
          <t>REGISTERED_CANDIDATE</t>
        </is>
      </c>
      <c r="I4" s="7" t="inlineStr">
        <is>
          <t>modulation,binary-family</t>
        </is>
      </c>
    </row>
    <row r="5">
      <c r="A5" s="6" t="inlineStr">
        <is>
          <t>FKEY-587HZ</t>
        </is>
      </c>
      <c r="B5" s="6" t="inlineStr">
        <is>
          <t>frequency_key</t>
        </is>
      </c>
      <c r="C5" s="6" t="inlineStr">
        <is>
          <t>SOURCE_CLAIM</t>
        </is>
      </c>
      <c r="D5" s="6" t="inlineStr">
        <is>
          <t>PUBLIC</t>
        </is>
      </c>
      <c r="E5" s="6" t="inlineStr">
        <is>
          <t>pack seed data (frequency_keys_seed.json)</t>
        </is>
      </c>
      <c r="F5" s="6" t="inlineStr">
        <is>
          <t>587</t>
        </is>
      </c>
      <c r="G5" s="6" t="n">
        <v>587</v>
      </c>
      <c r="H5" s="6" t="inlineStr">
        <is>
          <t>SOURCE_CLAIM</t>
        </is>
      </c>
      <c r="I5" s="6" t="inlineStr">
        <is>
          <t>sound-key</t>
        </is>
      </c>
    </row>
    <row r="6">
      <c r="A6" s="6" t="inlineStr">
        <is>
          <t>FKEY-644HZ</t>
        </is>
      </c>
      <c r="B6" s="6" t="inlineStr">
        <is>
          <t>frequency_key</t>
        </is>
      </c>
      <c r="C6" s="6" t="inlineStr">
        <is>
          <t>SOURCE_CLAIM</t>
        </is>
      </c>
      <c r="D6" s="6" t="inlineStr">
        <is>
          <t>PUBLIC</t>
        </is>
      </c>
      <c r="E6" s="6" t="inlineStr">
        <is>
          <t>pack seed data (frequency_keys_seed.json)</t>
        </is>
      </c>
      <c r="F6" s="6" t="inlineStr">
        <is>
          <t>644</t>
        </is>
      </c>
      <c r="G6" s="6" t="n">
        <v>644</v>
      </c>
      <c r="H6" s="6" t="inlineStr">
        <is>
          <t>SOURCE_CLAIM</t>
        </is>
      </c>
      <c r="I6" s="6" t="inlineStr">
        <is>
          <t>sound-key</t>
        </is>
      </c>
    </row>
    <row r="7">
      <c r="A7" s="6" t="inlineStr">
        <is>
          <t>FKEY-787HZ</t>
        </is>
      </c>
      <c r="B7" s="6" t="inlineStr">
        <is>
          <t>frequency_key</t>
        </is>
      </c>
      <c r="C7" s="6" t="inlineStr">
        <is>
          <t>SOURCE_CLAIM</t>
        </is>
      </c>
      <c r="D7" s="6" t="inlineStr">
        <is>
          <t>PUBLIC</t>
        </is>
      </c>
      <c r="E7" s="6" t="inlineStr">
        <is>
          <t>pack seed data (frequency_keys_seed.json)</t>
        </is>
      </c>
      <c r="F7" s="6" t="inlineStr">
        <is>
          <t>787</t>
        </is>
      </c>
      <c r="G7" s="6" t="n">
        <v>787</v>
      </c>
      <c r="H7" s="6" t="inlineStr">
        <is>
          <t>SOURCE_CLAIM</t>
        </is>
      </c>
      <c r="I7" s="6" t="inlineStr">
        <is>
          <t>body-mapped</t>
        </is>
      </c>
    </row>
    <row r="8">
      <c r="A8" s="6" t="inlineStr">
        <is>
          <t>FKEY-880HZ</t>
        </is>
      </c>
      <c r="B8" s="6" t="inlineStr">
        <is>
          <t>frequency_key</t>
        </is>
      </c>
      <c r="C8" s="6" t="inlineStr">
        <is>
          <t>SOURCE_CLAIM</t>
        </is>
      </c>
      <c r="D8" s="6" t="inlineStr">
        <is>
          <t>PUBLIC</t>
        </is>
      </c>
      <c r="E8" s="6" t="inlineStr">
        <is>
          <t>pack seed data (frequency_keys_seed.json)</t>
        </is>
      </c>
      <c r="F8" s="6" t="inlineStr">
        <is>
          <t>880</t>
        </is>
      </c>
      <c r="G8" s="6" t="n">
        <v>880</v>
      </c>
      <c r="H8" s="6" t="inlineStr">
        <is>
          <t>SOURCE_CLAIM</t>
        </is>
      </c>
      <c r="I8" s="6" t="inlineStr">
        <is>
          <t>body-mapped</t>
        </is>
      </c>
    </row>
    <row r="9">
      <c r="A9" s="6" t="inlineStr">
        <is>
          <t>FKEY-1496HZ</t>
        </is>
      </c>
      <c r="B9" s="6" t="inlineStr">
        <is>
          <t>frequency_key</t>
        </is>
      </c>
      <c r="C9" s="6" t="inlineStr">
        <is>
          <t>SOURCE_CLAIM</t>
        </is>
      </c>
      <c r="D9" s="6" t="inlineStr">
        <is>
          <t>PUBLIC</t>
        </is>
      </c>
      <c r="E9" s="6" t="inlineStr">
        <is>
          <t>pack seed data (frequency_keys_seed.json)</t>
        </is>
      </c>
      <c r="F9" s="6" t="inlineStr">
        <is>
          <t>1496</t>
        </is>
      </c>
      <c r="G9" s="6" t="n">
        <v>1496</v>
      </c>
      <c r="H9" s="6" t="inlineStr">
        <is>
          <t>SOURCE_CLAIM</t>
        </is>
      </c>
      <c r="I9" s="6" t="inlineStr">
        <is>
          <t>sound-key</t>
        </is>
      </c>
    </row>
    <row r="10">
      <c r="A10" s="7" t="inlineStr">
        <is>
          <t>FKEY-4096HZ</t>
        </is>
      </c>
      <c r="B10" s="7" t="inlineStr">
        <is>
          <t>frequency_key</t>
        </is>
      </c>
      <c r="C10" s="7" t="inlineStr">
        <is>
          <t>DERIVED_ARITHMETIC</t>
        </is>
      </c>
      <c r="D10" s="7" t="inlineStr">
        <is>
          <t>PUBLIC</t>
        </is>
      </c>
      <c r="E10" s="7" t="inlineStr">
        <is>
          <t>pack seed data (frequency_keys_seed.json)</t>
        </is>
      </c>
      <c r="F10" s="7" t="inlineStr">
        <is>
          <t>4096</t>
        </is>
      </c>
      <c r="G10" s="7" t="n">
        <v>4096</v>
      </c>
      <c r="H10" s="7" t="inlineStr">
        <is>
          <t>REGISTERED_CANDIDATE</t>
        </is>
      </c>
      <c r="I10" s="7" t="inlineStr">
        <is>
          <t>crystal-tuner,clock</t>
        </is>
      </c>
    </row>
    <row r="11">
      <c r="A11" s="7" t="inlineStr">
        <is>
          <t>FKEY-20480HZ</t>
        </is>
      </c>
      <c r="B11" s="7" t="inlineStr">
        <is>
          <t>frequency_key</t>
        </is>
      </c>
      <c r="C11" s="7" t="inlineStr">
        <is>
          <t>DERIVED_ARITHMETIC</t>
        </is>
      </c>
      <c r="D11" s="7" t="inlineStr">
        <is>
          <t>PUBLIC</t>
        </is>
      </c>
      <c r="E11" s="7" t="inlineStr">
        <is>
          <t>pack seed data (frequency_keys_seed.json)</t>
        </is>
      </c>
      <c r="F11" s="7" t="inlineStr">
        <is>
          <t>20480</t>
        </is>
      </c>
      <c r="G11" s="7" t="n">
        <v>20480</v>
      </c>
      <c r="H11" s="7" t="inlineStr">
        <is>
          <t>REGISTERED_TARGET</t>
        </is>
      </c>
      <c r="I11" s="7" t="inlineStr">
        <is>
          <t>target,octave-family</t>
        </is>
      </c>
    </row>
    <row r="12">
      <c r="A12" s="7" t="inlineStr">
        <is>
          <t>FKEY-32768HZ</t>
        </is>
      </c>
      <c r="B12" s="7" t="inlineStr">
        <is>
          <t>frequency_key</t>
        </is>
      </c>
      <c r="C12" s="7" t="inlineStr">
        <is>
          <t>DERIVED_ARITHMETIC</t>
        </is>
      </c>
      <c r="D12" s="7" t="inlineStr">
        <is>
          <t>PUBLIC</t>
        </is>
      </c>
      <c r="E12" s="7" t="inlineStr">
        <is>
          <t>pack seed data (frequency_keys_seed.json)</t>
        </is>
      </c>
      <c r="F12" s="7" t="inlineStr">
        <is>
          <t>32768</t>
        </is>
      </c>
      <c r="G12" s="7" t="n">
        <v>32768</v>
      </c>
      <c r="H12" s="7" t="inlineStr">
        <is>
          <t>REGISTERED_CANDIDATE</t>
        </is>
      </c>
      <c r="I12" s="7" t="inlineStr">
        <is>
          <t>crystal-clock</t>
        </is>
      </c>
    </row>
    <row r="13">
      <c r="A13" s="7" t="inlineStr">
        <is>
          <t>FKEY-40960HZ</t>
        </is>
      </c>
      <c r="B13" s="7" t="inlineStr">
        <is>
          <t>frequency_key</t>
        </is>
      </c>
      <c r="C13" s="7" t="inlineStr">
        <is>
          <t>DERIVED_ARITHMETIC</t>
        </is>
      </c>
      <c r="D13" s="7" t="inlineStr">
        <is>
          <t>PUBLIC</t>
        </is>
      </c>
      <c r="E13" s="7" t="inlineStr">
        <is>
          <t>pack seed data (frequency_keys_seed.json)</t>
        </is>
      </c>
      <c r="F13" s="7" t="inlineStr">
        <is>
          <t>40960</t>
        </is>
      </c>
      <c r="G13" s="7" t="n">
        <v>40960</v>
      </c>
      <c r="H13" s="7" t="inlineStr">
        <is>
          <t>REGISTERED_TARGET</t>
        </is>
      </c>
      <c r="I13" s="7" t="inlineStr">
        <is>
          <t>target,octave-family</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0" customWidth="1" min="3" max="3"/>
    <col width="15" customWidth="1" min="4" max="4"/>
    <col width="42" customWidth="1" min="5" max="5"/>
    <col width="32" customWidth="1" min="6" max="6"/>
    <col width="11" customWidth="1" min="7" max="7"/>
    <col width="11" customWidth="1" min="8" max="8"/>
    <col width="24" customWidth="1" min="9" max="9"/>
    <col width="10" customWidth="1" min="10" max="10"/>
    <col width="10" customWidth="1" min="11" max="11"/>
    <col width="14" customWidth="1" min="12" max="12"/>
    <col width="60" customWidth="1" min="13" max="13"/>
  </cols>
  <sheetData>
    <row r="1">
      <c r="A1" s="27" t="inlineStr">
        <is>
          <t>id</t>
        </is>
      </c>
      <c r="B1" s="27" t="inlineStr">
        <is>
          <t>kind</t>
        </is>
      </c>
      <c r="C1" s="27" t="inlineStr">
        <is>
          <t>evidence_class</t>
        </is>
      </c>
      <c r="D1" s="27" t="inlineStr">
        <is>
          <t>privacy_class</t>
        </is>
      </c>
      <c r="E1" s="27" t="inlineStr">
        <is>
          <t>provenance</t>
        </is>
      </c>
      <c r="F1" s="27" t="inlineStr">
        <is>
          <t>expression</t>
        </is>
      </c>
      <c r="G1" s="27" t="inlineStr">
        <is>
          <t>output_hz</t>
        </is>
      </c>
      <c r="H1" s="27" t="inlineStr">
        <is>
          <t>target_hz</t>
        </is>
      </c>
      <c r="I1" s="27" t="inlineStr">
        <is>
          <t>primary_class</t>
        </is>
      </c>
      <c r="J1" s="27" t="inlineStr">
        <is>
          <t>order</t>
        </is>
      </c>
      <c r="K1" s="27" t="inlineStr">
        <is>
          <t>exact</t>
        </is>
      </c>
      <c r="L1" s="27" t="inlineStr">
        <is>
          <t>abs_error_hz</t>
        </is>
      </c>
      <c r="M1" s="27" t="inlineStr">
        <is>
          <t>note</t>
        </is>
      </c>
    </row>
    <row r="2">
      <c r="A2" s="7" t="inlineStr">
        <is>
          <t>REL-ea3c529a85</t>
        </is>
      </c>
      <c r="B2" s="7" t="inlineStr">
        <is>
          <t>frequency_relation</t>
        </is>
      </c>
      <c r="C2" s="7" t="inlineStr">
        <is>
          <t>DERIVED_ARITHMETIC</t>
        </is>
      </c>
      <c r="D2" s="7" t="inlineStr">
        <is>
          <t>PUBLIC</t>
        </is>
      </c>
      <c r="E2" s="7" t="inlineStr">
        <is>
          <t>fkey_instrument.relations.seed_relations</t>
        </is>
      </c>
      <c r="F2" s="7" t="inlineStr">
        <is>
          <t>5x4096</t>
        </is>
      </c>
      <c r="G2" s="7" t="inlineStr">
        <is>
          <t>20480</t>
        </is>
      </c>
      <c r="H2" s="7" t="inlineStr">
        <is>
          <t>20480</t>
        </is>
      </c>
      <c r="I2" s="7" t="inlineStr">
        <is>
          <t>HARMONIC</t>
        </is>
      </c>
      <c r="J2" s="7" t="n">
        <v>5</v>
      </c>
      <c r="K2" s="7" t="b">
        <v>1</v>
      </c>
      <c r="L2" s="7" t="inlineStr">
        <is>
          <t>0</t>
        </is>
      </c>
      <c r="M2" s="7" t="inlineStr">
        <is>
          <t>order-5 harmonic: a nonsinusoidal drive at 4096 Hz can physically contain this line (an ideal sine cannot; a 50% square carries odd harmonics at 1/k amplitude)</t>
        </is>
      </c>
    </row>
    <row r="3">
      <c r="A3" s="7" t="inlineStr">
        <is>
          <t>REL-5a7ccd19df</t>
        </is>
      </c>
      <c r="B3" s="7" t="inlineStr">
        <is>
          <t>frequency_relation</t>
        </is>
      </c>
      <c r="C3" s="7" t="inlineStr">
        <is>
          <t>DERIVED_ARITHMETIC</t>
        </is>
      </c>
      <c r="D3" s="7" t="inlineStr">
        <is>
          <t>PUBLIC</t>
        </is>
      </c>
      <c r="E3" s="7" t="inlineStr">
        <is>
          <t>fkey_instrument.relations.seed_relations</t>
        </is>
      </c>
      <c r="F3" s="7" t="inlineStr">
        <is>
          <t>500x1024/25</t>
        </is>
      </c>
      <c r="G3" s="7" t="inlineStr">
        <is>
          <t>20480</t>
        </is>
      </c>
      <c r="H3" s="7" t="inlineStr">
        <is>
          <t>20480</t>
        </is>
      </c>
      <c r="I3" s="7" t="inlineStr">
        <is>
          <t>PHASE_CLOSURE_ONLY</t>
        </is>
      </c>
      <c r="J3" s="7" t="n">
        <v>500</v>
      </c>
      <c r="K3" s="7" t="b">
        <v>1</v>
      </c>
      <c r="L3" s="7" t="inlineStr">
        <is>
          <t>0</t>
        </is>
      </c>
      <c r="M3" s="7" t="inlineStr">
        <is>
          <t>exact x500 but order 500 far exceeds any practical harmonic content (&gt; 15); the relation is a timing/phase-closure statement, not a spectral generation mechanism</t>
        </is>
      </c>
    </row>
    <row r="4">
      <c r="A4" s="7" t="inlineStr">
        <is>
          <t>REL-85c58122e8</t>
        </is>
      </c>
      <c r="B4" s="7" t="inlineStr">
        <is>
          <t>frequency_relation</t>
        </is>
      </c>
      <c r="C4" s="7" t="inlineStr">
        <is>
          <t>DERIVED_ARITHMETIC</t>
        </is>
      </c>
      <c r="D4" s="7" t="inlineStr">
        <is>
          <t>PUBLIC</t>
        </is>
      </c>
      <c r="E4" s="7" t="inlineStr">
        <is>
          <t>fkey_instrument.relations.seed_relations</t>
        </is>
      </c>
      <c r="F4" s="7" t="inlineStr">
        <is>
          <t>1000x512/25</t>
        </is>
      </c>
      <c r="G4" s="7" t="inlineStr">
        <is>
          <t>20480</t>
        </is>
      </c>
      <c r="H4" s="7" t="inlineStr">
        <is>
          <t>20480</t>
        </is>
      </c>
      <c r="I4" s="7" t="inlineStr">
        <is>
          <t>PHASE_CLOSURE_ONLY</t>
        </is>
      </c>
      <c r="J4" s="7" t="n">
        <v>1000</v>
      </c>
      <c r="K4" s="7" t="b">
        <v>1</v>
      </c>
      <c r="L4" s="7" t="inlineStr">
        <is>
          <t>0</t>
        </is>
      </c>
      <c r="M4" s="7" t="inlineStr">
        <is>
          <t>exact x1000 but order 1000 far exceeds any practical harmonic content (&gt; 15); the relation is a timing/phase-closure statement, not a spectral generation mechanism</t>
        </is>
      </c>
    </row>
    <row r="5">
      <c r="A5" s="7" t="inlineStr">
        <is>
          <t>REL-0092caed60</t>
        </is>
      </c>
      <c r="B5" s="7" t="inlineStr">
        <is>
          <t>frequency_relation</t>
        </is>
      </c>
      <c r="C5" s="7" t="inlineStr">
        <is>
          <t>DERIVED_ARITHMETIC</t>
        </is>
      </c>
      <c r="D5" s="7" t="inlineStr">
        <is>
          <t>PUBLIC</t>
        </is>
      </c>
      <c r="E5" s="7" t="inlineStr">
        <is>
          <t>fkey_instrument.relations.seed_relations</t>
        </is>
      </c>
      <c r="F5" s="7" t="inlineStr">
        <is>
          <t>2535x8</t>
        </is>
      </c>
      <c r="G5" s="7" t="inlineStr">
        <is>
          <t>20280</t>
        </is>
      </c>
      <c r="H5" s="7" t="inlineStr">
        <is>
          <t>20280</t>
        </is>
      </c>
      <c r="I5" s="7" t="inlineStr">
        <is>
          <t>PHASE_CLOSURE_ONLY</t>
        </is>
      </c>
      <c r="J5" s="7" t="n">
        <v>2535</v>
      </c>
      <c r="K5" s="7" t="b">
        <v>1</v>
      </c>
      <c r="L5" s="7" t="inlineStr">
        <is>
          <t>0</t>
        </is>
      </c>
      <c r="M5" s="7" t="inlineStr">
        <is>
          <t>exact x2535 but order 2535 far exceeds any practical harmonic content (&gt; 15); the relation is a timing/phase-closure statement, not a spectral generation mechanism</t>
        </is>
      </c>
    </row>
    <row r="6">
      <c r="A6" s="7" t="inlineStr">
        <is>
          <t>REL-9d7b6631d4</t>
        </is>
      </c>
      <c r="B6" s="7" t="inlineStr">
        <is>
          <t>frequency_relation</t>
        </is>
      </c>
      <c r="C6" s="7" t="inlineStr">
        <is>
          <t>DERIVED_ARITHMETIC</t>
        </is>
      </c>
      <c r="D6" s="7" t="inlineStr">
        <is>
          <t>PUBLIC</t>
        </is>
      </c>
      <c r="E6" s="7" t="inlineStr">
        <is>
          <t>fkey_instrument.relations.seed_relations</t>
        </is>
      </c>
      <c r="F6" s="7" t="inlineStr">
        <is>
          <t>2560x8</t>
        </is>
      </c>
      <c r="G6" s="7" t="inlineStr">
        <is>
          <t>20480</t>
        </is>
      </c>
      <c r="H6" s="7" t="inlineStr">
        <is>
          <t>20480</t>
        </is>
      </c>
      <c r="I6" s="7" t="inlineStr">
        <is>
          <t>PHASE_CLOSURE_ONLY</t>
        </is>
      </c>
      <c r="J6" s="7" t="n">
        <v>2560</v>
      </c>
      <c r="K6" s="7" t="b">
        <v>1</v>
      </c>
      <c r="L6" s="7" t="inlineStr">
        <is>
          <t>0</t>
        </is>
      </c>
      <c r="M6" s="7" t="inlineStr">
        <is>
          <t>exact x2560 but order 2560 far exceeds any practical harmonic content (&gt; 15); the relation is a timing/phase-closure statement, not a spectral generation mechanism</t>
        </is>
      </c>
    </row>
    <row r="7">
      <c r="A7" s="7" t="inlineStr">
        <is>
          <t>REL-ce4ace827a</t>
        </is>
      </c>
      <c r="B7" s="7" t="inlineStr">
        <is>
          <t>frequency_relation</t>
        </is>
      </c>
      <c r="C7" s="7" t="inlineStr">
        <is>
          <t>DERIVED_ARITHMETIC</t>
        </is>
      </c>
      <c r="D7" s="7" t="inlineStr">
        <is>
          <t>PUBLIC</t>
        </is>
      </c>
      <c r="E7" s="7" t="inlineStr">
        <is>
          <t>fkey_instrument.relations.seed_relations</t>
        </is>
      </c>
      <c r="F7" s="7" t="inlineStr">
        <is>
          <t>3x644 + 4x787 + 9x880 + 5x1496</t>
        </is>
      </c>
      <c r="G7" s="7" t="inlineStr">
        <is>
          <t>20480</t>
        </is>
      </c>
      <c r="H7" s="7" t="inlineStr">
        <is>
          <t>20480</t>
        </is>
      </c>
      <c r="I7" s="7" t="inlineStr">
        <is>
          <t>ARITHMETIC_COINCIDENCE</t>
        </is>
      </c>
      <c r="J7" s="7" t="n">
        <v>21</v>
      </c>
      <c r="K7" s="7" t="b">
        <v>1</v>
      </c>
      <c r="L7" s="7" t="inlineStr">
        <is>
          <t>0</t>
        </is>
      </c>
      <c r="M7" s="7" t="inlineStr">
        <is>
          <t>arithmetic identity of mixing order 21: no realistic nonlinearity produces a usable component at this order; the sum is bookkeeping, not an emitted frequency</t>
        </is>
      </c>
    </row>
    <row r="8">
      <c r="A8" s="7" t="inlineStr">
        <is>
          <t>REL-d88fa855e3</t>
        </is>
      </c>
      <c r="B8" s="7" t="inlineStr">
        <is>
          <t>frequency_relation</t>
        </is>
      </c>
      <c r="C8" s="7" t="inlineStr">
        <is>
          <t>DERIVED_ARITHMETIC</t>
        </is>
      </c>
      <c r="D8" s="7" t="inlineStr">
        <is>
          <t>PUBLIC</t>
        </is>
      </c>
      <c r="E8" s="7" t="inlineStr">
        <is>
          <t>fkey_instrument.relations.seed_relations</t>
        </is>
      </c>
      <c r="F8" s="7" t="inlineStr">
        <is>
          <t>1x1496 + 32x587</t>
        </is>
      </c>
      <c r="G8" s="7" t="inlineStr">
        <is>
          <t>20280</t>
        </is>
      </c>
      <c r="H8" s="7" t="inlineStr">
        <is>
          <t>20280</t>
        </is>
      </c>
      <c r="I8" s="7" t="inlineStr">
        <is>
          <t>ARITHMETIC_COINCIDENCE</t>
        </is>
      </c>
      <c r="J8" s="7" t="n">
        <v>33</v>
      </c>
      <c r="K8" s="7" t="b">
        <v>1</v>
      </c>
      <c r="L8" s="7" t="inlineStr">
        <is>
          <t>0</t>
        </is>
      </c>
      <c r="M8" s="7" t="inlineStr">
        <is>
          <t>arithmetic identity of mixing order 33: no realistic nonlinearity produces a usable component at this order; the sum is bookkeeping, not an emitted frequency</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33" customWidth="1" min="1" max="1"/>
    <col width="19" customWidth="1" min="2" max="2"/>
    <col width="16" customWidth="1" min="3" max="3"/>
    <col width="15" customWidth="1" min="4" max="4"/>
    <col width="36" customWidth="1" min="5" max="5"/>
    <col width="10" customWidth="1" min="6" max="6"/>
    <col width="23" customWidth="1" min="7" max="7"/>
    <col width="11" customWidth="1" min="8" max="8"/>
    <col width="10" customWidth="1" min="9" max="9"/>
    <col width="18" customWidth="1" min="10" max="10"/>
    <col width="60" customWidth="1" min="11" max="11"/>
  </cols>
  <sheetData>
    <row r="1">
      <c r="A1" s="27" t="inlineStr">
        <is>
          <t>id</t>
        </is>
      </c>
      <c r="B1" s="27" t="inlineStr">
        <is>
          <t>kind</t>
        </is>
      </c>
      <c r="C1" s="27" t="inlineStr">
        <is>
          <t>evidence_class</t>
        </is>
      </c>
      <c r="D1" s="27" t="inlineStr">
        <is>
          <t>privacy_class</t>
        </is>
      </c>
      <c r="E1" s="27" t="inlineStr">
        <is>
          <t>provenance</t>
        </is>
      </c>
      <c r="F1" s="27" t="inlineStr">
        <is>
          <t>revision</t>
        </is>
      </c>
      <c r="G1" s="27" t="inlineStr">
        <is>
          <t>status</t>
        </is>
      </c>
      <c r="H1" s="27" t="inlineStr">
        <is>
          <t>length_mm</t>
        </is>
      </c>
      <c r="I1" s="27" t="inlineStr">
        <is>
          <t>facets</t>
        </is>
      </c>
      <c r="J1" s="27" t="inlineStr">
        <is>
          <t>material_claim</t>
        </is>
      </c>
      <c r="K1" s="27" t="inlineStr">
        <is>
          <t>warning</t>
        </is>
      </c>
    </row>
    <row r="2">
      <c r="A2" s="6" t="inlineStr">
        <is>
          <t>SP-EBAY-137330949270-PREARRIVAL</t>
        </is>
      </c>
      <c r="B2" s="6" t="inlineStr">
        <is>
          <t>specimen_revision</t>
        </is>
      </c>
      <c r="C2" s="6" t="inlineStr">
        <is>
          <t>SOURCE_CLAIM</t>
        </is>
      </c>
      <c r="D2" s="6" t="inlineStr">
        <is>
          <t>PUBLIC_SAFE</t>
        </is>
      </c>
      <c r="E2" s="6" t="inlineStr">
        <is>
          <t>pack data specimen_prearrival.json</t>
        </is>
      </c>
      <c r="F2" s="6" t="n">
        <v>1</v>
      </c>
      <c r="G2" s="6" t="inlineStr">
        <is>
          <t>PREARRIVAL_UNVERIFIED</t>
        </is>
      </c>
      <c r="H2" s="6" t="inlineStr">
        <is>
          <t>77.8</t>
        </is>
      </c>
      <c r="I2" s="6" t="n">
        <v>6</v>
      </c>
      <c r="J2" s="6" t="inlineStr">
        <is>
          <t>Himalayan quartz</t>
        </is>
      </c>
      <c r="K2" s="6" t="inlineStr">
        <is>
          <t>Seller dimensions and material claims are not measurements.</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50" customWidth="1" min="10" max="10"/>
  </cols>
  <sheetData>
    <row r="1">
      <c r="A1" s="28" t="inlineStr">
        <is>
          <t>id</t>
        </is>
      </c>
      <c r="B1" s="28" t="inlineStr">
        <is>
          <t>evidence_class</t>
        </is>
      </c>
      <c r="C1" s="28" t="inlineStr">
        <is>
          <t>model_level</t>
        </is>
      </c>
      <c r="D1" s="28" t="inlineStr">
        <is>
          <t>quarter_wave_hz</t>
        </is>
      </c>
      <c r="E1" s="28" t="inlineStr">
        <is>
          <t>half_wave_hz</t>
        </is>
      </c>
      <c r="F1" s="28" t="inlineStr">
        <is>
          <t>target_hz</t>
        </is>
      </c>
      <c r="G1" s="28" t="inlineStr">
        <is>
          <t>rel_error_formula</t>
        </is>
      </c>
      <c r="H1" s="28" t="inlineStr">
        <is>
          <t>band_lo_hz</t>
        </is>
      </c>
      <c r="I1" s="28" t="inlineStr">
        <is>
          <t>band_hi_hz</t>
        </is>
      </c>
      <c r="J1" s="28" t="inlineStr">
        <is>
          <t>note</t>
        </is>
      </c>
    </row>
    <row r="2">
      <c r="A2" s="8" t="inlineStr">
        <is>
          <t>MODE-91374d03b8</t>
        </is>
      </c>
      <c r="B2" s="8" t="inlineStr">
        <is>
          <t>ANALYTIC_MODEL</t>
        </is>
      </c>
      <c r="C2" s="8" t="inlineStr">
        <is>
          <t>LEVEL0_1D_ROD_SCREENING</t>
        </is>
      </c>
      <c r="D2" s="8" t="n">
        <v>20278.95924164524</v>
      </c>
      <c r="E2" s="8" t="n">
        <v>40557.91848329049</v>
      </c>
      <c r="F2" s="8" t="n">
        <v>20480</v>
      </c>
      <c r="G2" s="8">
        <f>(F2-D2)/F2</f>
        <v/>
      </c>
      <c r="H2" s="8" t="n">
        <v>19647.74231900255</v>
      </c>
      <c r="I2" s="8" t="n">
        <v>20922.42399777361</v>
      </c>
      <c r="J2" s="8" t="inlineStr">
        <is>
          <t>search band, not a magic frequency; seller geometry, unmeasured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6" customWidth="1" min="3" max="3"/>
    <col width="15" customWidth="1" min="4" max="4"/>
    <col width="46" customWidth="1" min="5" max="5"/>
    <col width="24" customWidth="1" min="6" max="6"/>
    <col width="14" customWidth="1" min="7" max="7"/>
    <col width="31" customWidth="1" min="8" max="8"/>
    <col width="10" customWidth="1" min="9" max="9"/>
    <col width="27" customWidth="1" min="10" max="10"/>
    <col width="12" customWidth="1" min="11" max="11"/>
  </cols>
  <sheetData>
    <row r="1">
      <c r="A1" s="27" t="inlineStr">
        <is>
          <t>id</t>
        </is>
      </c>
      <c r="B1" s="27" t="inlineStr">
        <is>
          <t>kind</t>
        </is>
      </c>
      <c r="C1" s="27" t="inlineStr">
        <is>
          <t>evidence_class</t>
        </is>
      </c>
      <c r="D1" s="27" t="inlineStr">
        <is>
          <t>privacy_class</t>
        </is>
      </c>
      <c r="E1" s="27" t="inlineStr">
        <is>
          <t>provenance</t>
        </is>
      </c>
      <c r="F1" s="27" t="inlineStr">
        <is>
          <t>family</t>
        </is>
      </c>
      <c r="G1" s="27" t="inlineStr">
        <is>
          <t>frequency_hz</t>
        </is>
      </c>
      <c r="H1" s="27" t="inlineStr">
        <is>
          <t>mechanism</t>
        </is>
      </c>
      <c r="I1" s="27" t="inlineStr">
        <is>
          <t>order</t>
        </is>
      </c>
      <c r="J1" s="27" t="inlineStr">
        <is>
          <t>hypothesis</t>
        </is>
      </c>
      <c r="K1" s="27" t="inlineStr">
        <is>
          <t>is_control</t>
        </is>
      </c>
    </row>
    <row r="2">
      <c r="A2" s="8" t="inlineStr">
        <is>
          <t>RCP-a1a5271213</t>
        </is>
      </c>
      <c r="B2" s="8" t="inlineStr">
        <is>
          <t>sine</t>
        </is>
      </c>
      <c r="C2" s="8" t="inlineStr">
        <is>
          <t>ANALYTIC_MODEL</t>
        </is>
      </c>
      <c r="D2" s="8" t="inlineStr">
        <is>
          <t>PUBLIC</t>
        </is>
      </c>
      <c r="E2" s="8" t="inlineStr">
        <is>
          <t>fkey_instrument.optimizer.candidate_families</t>
        </is>
      </c>
      <c r="F2" s="8" t="inlineStr">
        <is>
          <t>direct_sine_target</t>
        </is>
      </c>
      <c r="G2" s="8" t="inlineStr">
        <is>
          <t>20480</t>
        </is>
      </c>
      <c r="H2" s="8" t="inlineStr">
        <is>
          <t>HARMONIC</t>
        </is>
      </c>
      <c r="I2" s="8" t="n">
        <v>1</v>
      </c>
      <c r="J2" s="8" t="inlineStr">
        <is>
          <t>H-EQUIV-SPECTRUM-01</t>
        </is>
      </c>
      <c r="K2" s="8" t="b">
        <v>0</v>
      </c>
    </row>
    <row r="3">
      <c r="A3" s="8" t="inlineStr">
        <is>
          <t>RCP-f1a8aecd3f</t>
        </is>
      </c>
      <c r="B3" s="8" t="inlineStr">
        <is>
          <t>square</t>
        </is>
      </c>
      <c r="C3" s="8" t="inlineStr">
        <is>
          <t>ANALYTIC_MODEL</t>
        </is>
      </c>
      <c r="D3" s="8" t="inlineStr">
        <is>
          <t>PUBLIC</t>
        </is>
      </c>
      <c r="E3" s="8" t="inlineStr">
        <is>
          <t>fkey_instrument.optimizer.candidate_families</t>
        </is>
      </c>
      <c r="F3" s="8" t="inlineStr">
        <is>
          <t>direct_square_target</t>
        </is>
      </c>
      <c r="G3" s="8" t="inlineStr">
        <is>
          <t>20480</t>
        </is>
      </c>
      <c r="H3" s="8" t="inlineStr">
        <is>
          <t>HARMONIC</t>
        </is>
      </c>
      <c r="I3" s="8" t="n">
        <v>1</v>
      </c>
      <c r="J3" s="8" t="inlineStr">
        <is>
          <t>H-EQUIV-SPECTRUM-01</t>
        </is>
      </c>
      <c r="K3" s="8" t="b">
        <v>0</v>
      </c>
    </row>
    <row r="4">
      <c r="A4" s="8" t="inlineStr">
        <is>
          <t>RCP-e09e2e06d1</t>
        </is>
      </c>
      <c r="B4" s="8" t="inlineStr">
        <is>
          <t>sine</t>
        </is>
      </c>
      <c r="C4" s="8" t="inlineStr">
        <is>
          <t>ANALYTIC_MODEL</t>
        </is>
      </c>
      <c r="D4" s="8" t="inlineStr">
        <is>
          <t>PUBLIC</t>
        </is>
      </c>
      <c r="E4" s="8" t="inlineStr">
        <is>
          <t>fkey_instrument.optimizer.candidate_families</t>
        </is>
      </c>
      <c r="F4" s="8" t="inlineStr">
        <is>
          <t>clock_sine_4096</t>
        </is>
      </c>
      <c r="G4" s="8" t="inlineStr">
        <is>
          <t>4096</t>
        </is>
      </c>
      <c r="H4" s="8" t="inlineStr">
        <is>
          <t>PHASE_CLOSURE_ONLY</t>
        </is>
      </c>
      <c r="I4" s="8" t="n">
        <v>5</v>
      </c>
      <c r="J4" s="8" t="inlineStr">
        <is>
          <t>H-KEY-HARMONIC-01</t>
        </is>
      </c>
      <c r="K4" s="8" t="b">
        <v>0</v>
      </c>
    </row>
    <row r="5">
      <c r="A5" s="8" t="inlineStr">
        <is>
          <t>RCP-22f5a02776</t>
        </is>
      </c>
      <c r="B5" s="8" t="inlineStr">
        <is>
          <t>square</t>
        </is>
      </c>
      <c r="C5" s="8" t="inlineStr">
        <is>
          <t>ANALYTIC_MODEL</t>
        </is>
      </c>
      <c r="D5" s="8" t="inlineStr">
        <is>
          <t>PUBLIC</t>
        </is>
      </c>
      <c r="E5" s="8" t="inlineStr">
        <is>
          <t>fkey_instrument.optimizer.candidate_families</t>
        </is>
      </c>
      <c r="F5" s="8" t="inlineStr">
        <is>
          <t>clock_square_4096</t>
        </is>
      </c>
      <c r="G5" s="8" t="inlineStr">
        <is>
          <t>4096</t>
        </is>
      </c>
      <c r="H5" s="8" t="inlineStr">
        <is>
          <t>SUBHARMONIC_CLOCK</t>
        </is>
      </c>
      <c r="I5" s="8" t="n">
        <v>5</v>
      </c>
      <c r="J5" s="8" t="inlineStr">
        <is>
          <t>H-KEY-HARMONIC-01</t>
        </is>
      </c>
      <c r="K5" s="8" t="b">
        <v>0</v>
      </c>
    </row>
    <row r="6">
      <c r="A6" s="8" t="inlineStr">
        <is>
          <t>RCP-b76cef72fa</t>
        </is>
      </c>
      <c r="B6" s="8" t="inlineStr">
        <is>
          <t>sine</t>
        </is>
      </c>
      <c r="C6" s="8" t="inlineStr">
        <is>
          <t>ANALYTIC_MODEL</t>
        </is>
      </c>
      <c r="D6" s="8" t="inlineStr">
        <is>
          <t>PUBLIC</t>
        </is>
      </c>
      <c r="E6" s="8" t="inlineStr">
        <is>
          <t>fkey_instrument.optimizer.candidate_families</t>
        </is>
      </c>
      <c r="F6" s="8" t="inlineStr">
        <is>
          <t>resonance_locked_sine</t>
        </is>
      </c>
      <c r="G6" s="8" t="inlineStr">
        <is>
          <t>20278.96</t>
        </is>
      </c>
      <c r="H6" s="8" t="inlineStr">
        <is>
          <t>MEASURED_RESONANCE_MATCH</t>
        </is>
      </c>
      <c r="I6" s="8" t="n">
        <v>1</v>
      </c>
      <c r="J6" s="8" t="inlineStr">
        <is>
          <t>H-RESONANCE-LOCK-01</t>
        </is>
      </c>
      <c r="K6" s="8" t="b">
        <v>0</v>
      </c>
    </row>
    <row r="7">
      <c r="A7" s="8" t="inlineStr">
        <is>
          <t>RCP-9ebb2c238b</t>
        </is>
      </c>
      <c r="B7" s="8" t="inlineStr">
        <is>
          <t>square</t>
        </is>
      </c>
      <c r="C7" s="8" t="inlineStr">
        <is>
          <t>ANALYTIC_MODEL</t>
        </is>
      </c>
      <c r="D7" s="8" t="inlineStr">
        <is>
          <t>PUBLIC</t>
        </is>
      </c>
      <c r="E7" s="8" t="inlineStr">
        <is>
          <t>fkey_instrument.optimizer.candidate_families</t>
        </is>
      </c>
      <c r="F7" s="8" t="inlineStr">
        <is>
          <t>resonance_locked_clock</t>
        </is>
      </c>
      <c r="G7" s="8" t="inlineStr">
        <is>
          <t>506974/125</t>
        </is>
      </c>
      <c r="H7" s="8" t="inlineStr">
        <is>
          <t>SUBHARMONIC_CLOCK</t>
        </is>
      </c>
      <c r="I7" s="8" t="n">
        <v>5</v>
      </c>
      <c r="J7" s="8" t="inlineStr">
        <is>
          <t>H-RESONANCE-LOCK-01</t>
        </is>
      </c>
      <c r="K7" s="8" t="b">
        <v>0</v>
      </c>
    </row>
    <row r="8">
      <c r="A8" s="8" t="inlineStr">
        <is>
          <t>RCP-be4978f5dd</t>
        </is>
      </c>
      <c r="B8" s="8" t="inlineStr">
        <is>
          <t>sine</t>
        </is>
      </c>
      <c r="C8" s="8" t="inlineStr">
        <is>
          <t>ANALYTIC_MODEL</t>
        </is>
      </c>
      <c r="D8" s="8" t="inlineStr">
        <is>
          <t>PUBLIC</t>
        </is>
      </c>
      <c r="E8" s="8" t="inlineStr">
        <is>
          <t>fkey_instrument.optimizer.candidate_families</t>
        </is>
      </c>
      <c r="F8" s="8" t="inlineStr">
        <is>
          <t>off_resonance_control</t>
        </is>
      </c>
      <c r="G8" s="8" t="inlineStr">
        <is>
          <t>5323227/250</t>
        </is>
      </c>
      <c r="H8" s="8" t="inlineStr">
        <is>
          <t>HARMONIC</t>
        </is>
      </c>
      <c r="I8" s="8" t="n">
        <v>1</v>
      </c>
      <c r="J8" s="8" t="inlineStr">
        <is>
          <t>H-RESONANCE-LOCK-01</t>
        </is>
      </c>
      <c r="K8" s="8" t="b">
        <v>1</v>
      </c>
    </row>
    <row r="9">
      <c r="A9" s="8" t="inlineStr">
        <is>
          <t>RCP-0dded2b015</t>
        </is>
      </c>
      <c r="B9" s="8" t="inlineStr">
        <is>
          <t>off</t>
        </is>
      </c>
      <c r="C9" s="8" t="inlineStr">
        <is>
          <t>ANALYTIC_MODEL</t>
        </is>
      </c>
      <c r="D9" s="8" t="inlineStr">
        <is>
          <t>PUBLIC</t>
        </is>
      </c>
      <c r="E9" s="8" t="inlineStr">
        <is>
          <t>fkey_instrument.optimizer.candidate_families</t>
        </is>
      </c>
      <c r="F9" s="8" t="inlineStr">
        <is>
          <t>sham_output_off</t>
        </is>
      </c>
      <c r="G9" s="8" t="inlineStr">
        <is>
          <t>0</t>
        </is>
      </c>
      <c r="H9" s="8" t="inlineStr">
        <is>
          <t>PHASE_CLOSURE_ONLY</t>
        </is>
      </c>
      <c r="I9" s="8" t="n">
        <v>0</v>
      </c>
      <c r="J9" s="8" t="inlineStr">
        <is>
          <t>H-ANOMALOUS-RESIDUAL-NULL</t>
        </is>
      </c>
      <c r="K9" s="8" t="b">
        <v>1</v>
      </c>
    </row>
    <row r="10">
      <c r="A10" s="8" t="inlineStr">
        <is>
          <t>RCP-f815152ffb</t>
        </is>
      </c>
      <c r="B10" s="8" t="inlineStr">
        <is>
          <t>square</t>
        </is>
      </c>
      <c r="C10" s="8" t="inlineStr">
        <is>
          <t>ANALYTIC_MODEL</t>
        </is>
      </c>
      <c r="D10" s="8" t="inlineStr">
        <is>
          <t>PUBLIC</t>
        </is>
      </c>
      <c r="E10" s="8" t="inlineStr">
        <is>
          <t>fkey_instrument.optimizer.candidate_families</t>
        </is>
      </c>
      <c r="F10" s="8" t="inlineStr">
        <is>
          <t>am_envelope_20_48</t>
        </is>
      </c>
      <c r="G10" s="8" t="inlineStr">
        <is>
          <t>20480</t>
        </is>
      </c>
      <c r="H10" s="8" t="inlineStr">
        <is>
          <t>AMPLITUDE_MODULATION_SIDEBAND</t>
        </is>
      </c>
      <c r="I10" s="8" t="n">
        <v>1</v>
      </c>
      <c r="J10" s="8" t="inlineStr">
        <is>
          <t>H-KEY-HARMONIC-01</t>
        </is>
      </c>
      <c r="K10" s="8" t="b">
        <v>0</v>
      </c>
    </row>
    <row r="11">
      <c r="A11" s="8" t="inlineStr">
        <is>
          <t>RCP-73a82356a9</t>
        </is>
      </c>
      <c r="B11" s="8" t="inlineStr">
        <is>
          <t>sweep</t>
        </is>
      </c>
      <c r="C11" s="8" t="inlineStr">
        <is>
          <t>ANALYTIC_MODEL</t>
        </is>
      </c>
      <c r="D11" s="8" t="inlineStr">
        <is>
          <t>PUBLIC</t>
        </is>
      </c>
      <c r="E11" s="8" t="inlineStr">
        <is>
          <t>fkey_instrument.optimizer.candidate_families</t>
        </is>
      </c>
      <c r="F11" s="8" t="inlineStr">
        <is>
          <t>chirp_band</t>
        </is>
      </c>
      <c r="G11" s="8" t="inlineStr">
        <is>
          <t>19800</t>
        </is>
      </c>
      <c r="H11" s="8" t="inlineStr">
        <is>
          <t>HARMONIC</t>
        </is>
      </c>
      <c r="I11" s="8" t="n">
        <v>1</v>
      </c>
      <c r="J11" s="8" t="inlineStr">
        <is>
          <t>H-RESONANCE-LOCK-01</t>
        </is>
      </c>
      <c r="K11" s="8" t="b">
        <v>0</v>
      </c>
    </row>
    <row r="12">
      <c r="A12" s="8" t="inlineStr">
        <is>
          <t>RCP-9eb32725e3</t>
        </is>
      </c>
      <c r="B12" s="8" t="inlineStr">
        <is>
          <t>sine</t>
        </is>
      </c>
      <c r="C12" s="8" t="inlineStr">
        <is>
          <t>ANALYTIC_MODEL</t>
        </is>
      </c>
      <c r="D12" s="8" t="inlineStr">
        <is>
          <t>PUBLIC</t>
        </is>
      </c>
      <c r="E12" s="8" t="inlineStr">
        <is>
          <t>fkey_instrument.optimizer.candidate_families</t>
        </is>
      </c>
      <c r="F12" s="8" t="inlineStr">
        <is>
          <t>highorder_mix</t>
        </is>
      </c>
      <c r="G12" s="8" t="inlineStr">
        <is>
          <t>20280</t>
        </is>
      </c>
      <c r="H12" s="8" t="inlineStr">
        <is>
          <t>ARITHMETIC_COINCIDENCE</t>
        </is>
      </c>
      <c r="I12" s="8" t="n">
        <v>33</v>
      </c>
      <c r="J12" s="8" t="inlineStr">
        <is>
          <t>H-HIGHORDER-MIX-NULL</t>
        </is>
      </c>
      <c r="K12" s="8" t="b">
        <v>0</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6" customWidth="1" min="3" max="3"/>
    <col width="15" customWidth="1" min="4" max="4"/>
    <col width="38" customWidth="1" min="5" max="5"/>
    <col width="60" customWidth="1" min="6" max="6"/>
    <col width="60" customWidth="1" min="7" max="7"/>
    <col width="10" customWidth="1" min="8" max="8"/>
    <col width="60" customWidth="1" min="9" max="9"/>
    <col width="60" customWidth="1" min="10" max="10"/>
  </cols>
  <sheetData>
    <row r="1">
      <c r="A1" s="27" t="inlineStr">
        <is>
          <t>id</t>
        </is>
      </c>
      <c r="B1" s="27" t="inlineStr">
        <is>
          <t>kind</t>
        </is>
      </c>
      <c r="C1" s="27" t="inlineStr">
        <is>
          <t>evidence_class</t>
        </is>
      </c>
      <c r="D1" s="27" t="inlineStr">
        <is>
          <t>privacy_class</t>
        </is>
      </c>
      <c r="E1" s="27" t="inlineStr">
        <is>
          <t>provenance</t>
        </is>
      </c>
      <c r="F1" s="27" t="inlineStr">
        <is>
          <t>statement</t>
        </is>
      </c>
      <c r="G1" s="27" t="inlineStr">
        <is>
          <t>mechanism</t>
        </is>
      </c>
      <c r="H1" s="27" t="inlineStr">
        <is>
          <t>status</t>
        </is>
      </c>
      <c r="I1" s="27" t="inlineStr">
        <is>
          <t>prediction</t>
        </is>
      </c>
      <c r="J1" s="27" t="inlineStr">
        <is>
          <t>disconfirmed_by</t>
        </is>
      </c>
    </row>
    <row r="2">
      <c r="A2" s="8" t="inlineStr">
        <is>
          <t>H-KEY-HARMONIC-01</t>
        </is>
      </c>
      <c r="B2" s="8" t="inlineStr">
        <is>
          <t>hypothesis</t>
        </is>
      </c>
      <c r="C2" s="8" t="inlineStr">
        <is>
          <t>ANALYTIC_MODEL</t>
        </is>
      </c>
      <c r="D2" s="8" t="inlineStr">
        <is>
          <t>PUBLIC</t>
        </is>
      </c>
      <c r="E2" s="8" t="inlineStr">
        <is>
          <t>fkey_instrument.optimizer.HYPOTHESES</t>
        </is>
      </c>
      <c r="F2" s="8" t="inlineStr">
        <is>
          <t>a phase-coherent 4096 Hz nonsinusoidal drive can excite a target-band mechanical response through its fifth harmonic at 20.480 kHz</t>
        </is>
      </c>
      <c r="G2" s="8" t="inlineStr">
        <is>
          <t>HARMONIC (order 5)</t>
        </is>
      </c>
      <c r="H2" s="8" t="inlineStr">
        <is>
          <t>UNTESTED</t>
        </is>
      </c>
      <c r="I2" s="8" t="inlineStr">
        <is>
          <t>square &gt; sine by the modeled 5th-harmonic transfer; sine ~ noise floor</t>
        </is>
      </c>
      <c r="J2" s="8" t="inlineStr">
        <is>
          <t>square-drive band response indistinguishable from sine-drive within uncertainty</t>
        </is>
      </c>
    </row>
    <row r="3">
      <c r="A3" s="8" t="inlineStr">
        <is>
          <t>H-EQUIV-SPECTRUM-01</t>
        </is>
      </c>
      <c r="B3" s="8" t="inlineStr">
        <is>
          <t>hypothesis</t>
        </is>
      </c>
      <c r="C3" s="8" t="inlineStr">
        <is>
          <t>ANALYTIC_MODEL</t>
        </is>
      </c>
      <c r="D3" s="8" t="inlineStr">
        <is>
          <t>PUBLIC</t>
        </is>
      </c>
      <c r="E3" s="8" t="inlineStr">
        <is>
          <t>fkey_instrument.optimizer.HYPOTHESES</t>
        </is>
      </c>
      <c r="F3" s="8" t="inlineStr">
        <is>
          <t>when the measured 20.480 kHz component delivered to a linear plant is equalized, direct and 4096-derived excitation produce equivalent target-mode response within uncertainty</t>
        </is>
      </c>
      <c r="G3" s="8" t="inlineStr">
        <is>
          <t>linear-systems equivalence (the decisive ordinary-physics control)</t>
        </is>
      </c>
      <c r="H3" s="8" t="inlineStr">
        <is>
          <t>UNTESTED</t>
        </is>
      </c>
      <c r="I3" s="8" t="inlineStr">
        <is>
          <t>equivalence (this is a NULL-style prediction)</t>
        </is>
      </c>
      <c r="J3" s="8" t="inlineStr">
        <is>
          <t>a reproducible difference AFTER equalization — which would indicate nonlinearity or an unmodeled path, not magic</t>
        </is>
      </c>
    </row>
    <row r="4">
      <c r="A4" s="8" t="inlineStr">
        <is>
          <t>H-RESONANCE-LOCK-01</t>
        </is>
      </c>
      <c r="B4" s="8" t="inlineStr">
        <is>
          <t>hypothesis</t>
        </is>
      </c>
      <c r="C4" s="8" t="inlineStr">
        <is>
          <t>ANALYTIC_MODEL</t>
        </is>
      </c>
      <c r="D4" s="8" t="inlineStr">
        <is>
          <t>PUBLIC</t>
        </is>
      </c>
      <c r="E4" s="8" t="inlineStr">
        <is>
          <t>fkey_instrument.optimizer.HYPOTHESES</t>
        </is>
      </c>
      <c r="F4" s="8" t="inlineStr">
        <is>
          <t>direct drive at the measured specimen resonance produces greater response than equal-power nearby off-resonance controls</t>
        </is>
      </c>
      <c r="G4" s="8" t="inlineStr">
        <is>
          <t>MEASURED_RESONANCE_MATCH</t>
        </is>
      </c>
      <c r="H4" s="8" t="inlineStr">
        <is>
          <t>UNTESTED</t>
        </is>
      </c>
      <c r="I4" s="8" t="inlineStr">
        <is>
          <t>on &gt; off by ~Q-factor ratio</t>
        </is>
      </c>
      <c r="J4" s="8" t="inlineStr">
        <is>
          <t>on/off ratio ~ 1</t>
        </is>
      </c>
    </row>
    <row r="5">
      <c r="A5" s="8" t="inlineStr">
        <is>
          <t>H-FIXTURE-LOAD-01</t>
        </is>
      </c>
      <c r="B5" s="8" t="inlineStr">
        <is>
          <t>hypothesis</t>
        </is>
      </c>
      <c r="C5" s="8" t="inlineStr">
        <is>
          <t>ANALYTIC_MODEL</t>
        </is>
      </c>
      <c r="D5" s="8" t="inlineStr">
        <is>
          <t>PUBLIC</t>
        </is>
      </c>
      <c r="E5" s="8" t="inlineStr">
        <is>
          <t>fkey_instrument.optimizer.HYPOTHESES</t>
        </is>
      </c>
      <c r="F5" s="8" t="inlineStr">
        <is>
          <t>support and hand loading shift frequency and Q relative to a low-contact reference</t>
        </is>
      </c>
      <c r="G5" s="8" t="inlineStr">
        <is>
          <t>ordinary contact mechanics</t>
        </is>
      </c>
      <c r="H5" s="8" t="inlineStr">
        <is>
          <t>UNTESTED</t>
        </is>
      </c>
      <c r="I5" s="8" t="inlineStr">
        <is>
          <t>measurable shifts, direction per contact model</t>
        </is>
      </c>
      <c r="J5" s="8" t="inlineStr">
        <is>
          <t>shifts within remount scatter</t>
        </is>
      </c>
    </row>
    <row r="6">
      <c r="A6" s="8" t="inlineStr">
        <is>
          <t>H-HIGHORDER-MIX-NULL</t>
        </is>
      </c>
      <c r="B6" s="8" t="inlineStr">
        <is>
          <t>hypothesis</t>
        </is>
      </c>
      <c r="C6" s="8" t="inlineStr">
        <is>
          <t>ANALYTIC_MODEL</t>
        </is>
      </c>
      <c r="D6" s="8" t="inlineStr">
        <is>
          <t>PUBLIC</t>
        </is>
      </c>
      <c r="E6" s="8" t="inlineStr">
        <is>
          <t>fkey_instrument.optimizer.HYPOTHESES</t>
        </is>
      </c>
      <c r="F6" s="8" t="inlineStr">
        <is>
          <t>high-order combinations such as 1496 + 32*587 do not produce a detectable target component at low drive unless measurable nonlinearity exists</t>
        </is>
      </c>
      <c r="G6" s="8" t="inlineStr">
        <is>
          <t>ARITHMETIC_COINCIDENCE (order 33)</t>
        </is>
      </c>
      <c r="H6" s="8" t="inlineStr">
        <is>
          <t>UNTESTED</t>
        </is>
      </c>
      <c r="I6" s="8" t="inlineStr">
        <is>
          <t>NULL at linear drive levels</t>
        </is>
      </c>
      <c r="J6" s="8" t="inlineStr">
        <is>
          <t>a target component WITHOUT the deliberate nonlinearity — which would first be hunted as an instrument artifact (A24)</t>
        </is>
      </c>
    </row>
    <row r="7">
      <c r="A7" s="8" t="inlineStr">
        <is>
          <t>H-ANOMALOUS-RESIDUAL-NULL</t>
        </is>
      </c>
      <c r="B7" s="8" t="inlineStr">
        <is>
          <t>hypothesis</t>
        </is>
      </c>
      <c r="C7" s="8" t="inlineStr">
        <is>
          <t>ANALYTIC_MODEL</t>
        </is>
      </c>
      <c r="D7" s="8" t="inlineStr">
        <is>
          <t>PUBLIC</t>
        </is>
      </c>
      <c r="E7" s="8" t="inlineStr">
        <is>
          <t>fkey_instrument.optimizer.HYPOTHESES</t>
        </is>
      </c>
      <c r="F7" s="8" t="inlineStr">
        <is>
          <t>after conventional crosstalk and transfer paths are modeled, no unexplained output channel remains</t>
        </is>
      </c>
      <c r="G7" s="8" t="inlineStr">
        <is>
          <t>null over conventional channels</t>
        </is>
      </c>
      <c r="H7" s="8" t="inlineStr">
        <is>
          <t>UNTESTED</t>
        </is>
      </c>
      <c r="I7" s="8" t="inlineStr">
        <is>
          <t>NULL</t>
        </is>
      </c>
      <c r="J7" s="8" t="inlineStr">
        <is>
          <t>a reproducible residual surviving every conventional model — reported as CANDIDATE_NOVEL for further work, never as a field claim</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272"/>
  <sheetViews>
    <sheetView workbookViewId="0">
      <pane ySplit="1" topLeftCell="A2" activePane="bottomLeft" state="frozen"/>
      <selection pane="bottomLeft" activeCell="A1" sqref="A1"/>
    </sheetView>
  </sheetViews>
  <sheetFormatPr baseColWidth="8" defaultRowHeight="15"/>
  <cols>
    <col width="20" customWidth="1" min="1" max="1"/>
    <col width="33" customWidth="1" min="2" max="2"/>
    <col width="23" customWidth="1" min="3" max="3"/>
    <col width="22" customWidth="1" min="4" max="4"/>
    <col width="15" customWidth="1" min="5" max="5"/>
    <col width="50" customWidth="1" min="6" max="6"/>
  </cols>
  <sheetData>
    <row r="1">
      <c r="A1" s="27" t="inlineStr">
        <is>
          <t>table</t>
        </is>
      </c>
      <c r="B1" s="27" t="inlineStr">
        <is>
          <t>id</t>
        </is>
      </c>
      <c r="C1" s="27" t="inlineStr">
        <is>
          <t>kind</t>
        </is>
      </c>
      <c r="D1" s="27" t="inlineStr">
        <is>
          <t>evidence_class</t>
        </is>
      </c>
      <c r="E1" s="27" t="inlineStr">
        <is>
          <t>privacy_class</t>
        </is>
      </c>
      <c r="F1" s="27" t="inlineStr">
        <is>
          <t>provenance</t>
        </is>
      </c>
    </row>
    <row r="2">
      <c r="A2" s="7" t="inlineStr">
        <is>
          <t>frequency_keys</t>
        </is>
      </c>
      <c r="B2" s="7" t="inlineStr">
        <is>
          <t>FKEY-8HZ</t>
        </is>
      </c>
      <c r="C2" s="7" t="inlineStr">
        <is>
          <t>frequency_key</t>
        </is>
      </c>
      <c r="D2" s="7" t="inlineStr">
        <is>
          <t>DERIVED_ARITHMETIC</t>
        </is>
      </c>
      <c r="E2" s="7" t="inlineStr">
        <is>
          <t>PUBLIC</t>
        </is>
      </c>
      <c r="F2" s="7" t="inlineStr">
        <is>
          <t>pack seed data (frequency_keys_seed.json)</t>
        </is>
      </c>
    </row>
    <row r="3">
      <c r="A3" s="7" t="inlineStr">
        <is>
          <t>frequency_keys</t>
        </is>
      </c>
      <c r="B3" s="7" t="inlineStr">
        <is>
          <t>FKEY-20_48HZ</t>
        </is>
      </c>
      <c r="C3" s="7" t="inlineStr">
        <is>
          <t>frequency_key</t>
        </is>
      </c>
      <c r="D3" s="7" t="inlineStr">
        <is>
          <t>DERIVED_ARITHMETIC</t>
        </is>
      </c>
      <c r="E3" s="7" t="inlineStr">
        <is>
          <t>PUBLIC</t>
        </is>
      </c>
      <c r="F3" s="7" t="inlineStr">
        <is>
          <t>pack seed data (frequency_keys_seed.json)</t>
        </is>
      </c>
    </row>
    <row r="4">
      <c r="A4" s="7" t="inlineStr">
        <is>
          <t>frequency_keys</t>
        </is>
      </c>
      <c r="B4" s="7" t="inlineStr">
        <is>
          <t>FKEY-40_96HZ</t>
        </is>
      </c>
      <c r="C4" s="7" t="inlineStr">
        <is>
          <t>frequency_key</t>
        </is>
      </c>
      <c r="D4" s="7" t="inlineStr">
        <is>
          <t>DERIVED_ARITHMETIC</t>
        </is>
      </c>
      <c r="E4" s="7" t="inlineStr">
        <is>
          <t>PUBLIC</t>
        </is>
      </c>
      <c r="F4" s="7" t="inlineStr">
        <is>
          <t>pack seed data (frequency_keys_seed.json)</t>
        </is>
      </c>
    </row>
    <row r="5">
      <c r="A5" s="6" t="inlineStr">
        <is>
          <t>frequency_keys</t>
        </is>
      </c>
      <c r="B5" s="6" t="inlineStr">
        <is>
          <t>FKEY-587HZ</t>
        </is>
      </c>
      <c r="C5" s="6" t="inlineStr">
        <is>
          <t>frequency_key</t>
        </is>
      </c>
      <c r="D5" s="6" t="inlineStr">
        <is>
          <t>SOURCE_CLAIM</t>
        </is>
      </c>
      <c r="E5" s="6" t="inlineStr">
        <is>
          <t>PUBLIC</t>
        </is>
      </c>
      <c r="F5" s="6" t="inlineStr">
        <is>
          <t>pack seed data (frequency_keys_seed.json)</t>
        </is>
      </c>
    </row>
    <row r="6">
      <c r="A6" s="6" t="inlineStr">
        <is>
          <t>frequency_keys</t>
        </is>
      </c>
      <c r="B6" s="6" t="inlineStr">
        <is>
          <t>FKEY-644HZ</t>
        </is>
      </c>
      <c r="C6" s="6" t="inlineStr">
        <is>
          <t>frequency_key</t>
        </is>
      </c>
      <c r="D6" s="6" t="inlineStr">
        <is>
          <t>SOURCE_CLAIM</t>
        </is>
      </c>
      <c r="E6" s="6" t="inlineStr">
        <is>
          <t>PUBLIC</t>
        </is>
      </c>
      <c r="F6" s="6" t="inlineStr">
        <is>
          <t>pack seed data (frequency_keys_seed.json)</t>
        </is>
      </c>
    </row>
    <row r="7">
      <c r="A7" s="6" t="inlineStr">
        <is>
          <t>frequency_keys</t>
        </is>
      </c>
      <c r="B7" s="6" t="inlineStr">
        <is>
          <t>FKEY-787HZ</t>
        </is>
      </c>
      <c r="C7" s="6" t="inlineStr">
        <is>
          <t>frequency_key</t>
        </is>
      </c>
      <c r="D7" s="6" t="inlineStr">
        <is>
          <t>SOURCE_CLAIM</t>
        </is>
      </c>
      <c r="E7" s="6" t="inlineStr">
        <is>
          <t>PUBLIC</t>
        </is>
      </c>
      <c r="F7" s="6" t="inlineStr">
        <is>
          <t>pack seed data (frequency_keys_seed.json)</t>
        </is>
      </c>
    </row>
    <row r="8">
      <c r="A8" s="6" t="inlineStr">
        <is>
          <t>frequency_keys</t>
        </is>
      </c>
      <c r="B8" s="6" t="inlineStr">
        <is>
          <t>FKEY-880HZ</t>
        </is>
      </c>
      <c r="C8" s="6" t="inlineStr">
        <is>
          <t>frequency_key</t>
        </is>
      </c>
      <c r="D8" s="6" t="inlineStr">
        <is>
          <t>SOURCE_CLAIM</t>
        </is>
      </c>
      <c r="E8" s="6" t="inlineStr">
        <is>
          <t>PUBLIC</t>
        </is>
      </c>
      <c r="F8" s="6" t="inlineStr">
        <is>
          <t>pack seed data (frequency_keys_seed.json)</t>
        </is>
      </c>
    </row>
    <row r="9">
      <c r="A9" s="6" t="inlineStr">
        <is>
          <t>frequency_keys</t>
        </is>
      </c>
      <c r="B9" s="6" t="inlineStr">
        <is>
          <t>FKEY-1496HZ</t>
        </is>
      </c>
      <c r="C9" s="6" t="inlineStr">
        <is>
          <t>frequency_key</t>
        </is>
      </c>
      <c r="D9" s="6" t="inlineStr">
        <is>
          <t>SOURCE_CLAIM</t>
        </is>
      </c>
      <c r="E9" s="6" t="inlineStr">
        <is>
          <t>PUBLIC</t>
        </is>
      </c>
      <c r="F9" s="6" t="inlineStr">
        <is>
          <t>pack seed data (frequency_keys_seed.json)</t>
        </is>
      </c>
    </row>
    <row r="10">
      <c r="A10" s="7" t="inlineStr">
        <is>
          <t>frequency_keys</t>
        </is>
      </c>
      <c r="B10" s="7" t="inlineStr">
        <is>
          <t>FKEY-4096HZ</t>
        </is>
      </c>
      <c r="C10" s="7" t="inlineStr">
        <is>
          <t>frequency_key</t>
        </is>
      </c>
      <c r="D10" s="7" t="inlineStr">
        <is>
          <t>DERIVED_ARITHMETIC</t>
        </is>
      </c>
      <c r="E10" s="7" t="inlineStr">
        <is>
          <t>PUBLIC</t>
        </is>
      </c>
      <c r="F10" s="7" t="inlineStr">
        <is>
          <t>pack seed data (frequency_keys_seed.json)</t>
        </is>
      </c>
    </row>
    <row r="11">
      <c r="A11" s="7" t="inlineStr">
        <is>
          <t>frequency_keys</t>
        </is>
      </c>
      <c r="B11" s="7" t="inlineStr">
        <is>
          <t>FKEY-20480HZ</t>
        </is>
      </c>
      <c r="C11" s="7" t="inlineStr">
        <is>
          <t>frequency_key</t>
        </is>
      </c>
      <c r="D11" s="7" t="inlineStr">
        <is>
          <t>DERIVED_ARITHMETIC</t>
        </is>
      </c>
      <c r="E11" s="7" t="inlineStr">
        <is>
          <t>PUBLIC</t>
        </is>
      </c>
      <c r="F11" s="7" t="inlineStr">
        <is>
          <t>pack seed data (frequency_keys_seed.json)</t>
        </is>
      </c>
    </row>
    <row r="12">
      <c r="A12" s="7" t="inlineStr">
        <is>
          <t>frequency_keys</t>
        </is>
      </c>
      <c r="B12" s="7" t="inlineStr">
        <is>
          <t>FKEY-32768HZ</t>
        </is>
      </c>
      <c r="C12" s="7" t="inlineStr">
        <is>
          <t>frequency_key</t>
        </is>
      </c>
      <c r="D12" s="7" t="inlineStr">
        <is>
          <t>DERIVED_ARITHMETIC</t>
        </is>
      </c>
      <c r="E12" s="7" t="inlineStr">
        <is>
          <t>PUBLIC</t>
        </is>
      </c>
      <c r="F12" s="7" t="inlineStr">
        <is>
          <t>pack seed data (frequency_keys_seed.json)</t>
        </is>
      </c>
    </row>
    <row r="13">
      <c r="A13" s="7" t="inlineStr">
        <is>
          <t>frequency_keys</t>
        </is>
      </c>
      <c r="B13" s="7" t="inlineStr">
        <is>
          <t>FKEY-40960HZ</t>
        </is>
      </c>
      <c r="C13" s="7" t="inlineStr">
        <is>
          <t>frequency_key</t>
        </is>
      </c>
      <c r="D13" s="7" t="inlineStr">
        <is>
          <t>DERIVED_ARITHMETIC</t>
        </is>
      </c>
      <c r="E13" s="7" t="inlineStr">
        <is>
          <t>PUBLIC</t>
        </is>
      </c>
      <c r="F13" s="7" t="inlineStr">
        <is>
          <t>pack seed data (frequency_keys_seed.json)</t>
        </is>
      </c>
    </row>
    <row r="14">
      <c r="A14" s="7" t="inlineStr">
        <is>
          <t>harmonic_relations</t>
        </is>
      </c>
      <c r="B14" s="7" t="inlineStr">
        <is>
          <t>REL-ea3c529a85</t>
        </is>
      </c>
      <c r="C14" s="7" t="inlineStr">
        <is>
          <t>frequency_relation</t>
        </is>
      </c>
      <c r="D14" s="7" t="inlineStr">
        <is>
          <t>DERIVED_ARITHMETIC</t>
        </is>
      </c>
      <c r="E14" s="7" t="inlineStr">
        <is>
          <t>PUBLIC</t>
        </is>
      </c>
      <c r="F14" s="7" t="inlineStr">
        <is>
          <t>fkey_instrument.relations.seed_relations</t>
        </is>
      </c>
    </row>
    <row r="15">
      <c r="A15" s="7" t="inlineStr">
        <is>
          <t>harmonic_relations</t>
        </is>
      </c>
      <c r="B15" s="7" t="inlineStr">
        <is>
          <t>REL-5a7ccd19df</t>
        </is>
      </c>
      <c r="C15" s="7" t="inlineStr">
        <is>
          <t>frequency_relation</t>
        </is>
      </c>
      <c r="D15" s="7" t="inlineStr">
        <is>
          <t>DERIVED_ARITHMETIC</t>
        </is>
      </c>
      <c r="E15" s="7" t="inlineStr">
        <is>
          <t>PUBLIC</t>
        </is>
      </c>
      <c r="F15" s="7" t="inlineStr">
        <is>
          <t>fkey_instrument.relations.seed_relations</t>
        </is>
      </c>
    </row>
    <row r="16">
      <c r="A16" s="7" t="inlineStr">
        <is>
          <t>harmonic_relations</t>
        </is>
      </c>
      <c r="B16" s="7" t="inlineStr">
        <is>
          <t>REL-85c58122e8</t>
        </is>
      </c>
      <c r="C16" s="7" t="inlineStr">
        <is>
          <t>frequency_relation</t>
        </is>
      </c>
      <c r="D16" s="7" t="inlineStr">
        <is>
          <t>DERIVED_ARITHMETIC</t>
        </is>
      </c>
      <c r="E16" s="7" t="inlineStr">
        <is>
          <t>PUBLIC</t>
        </is>
      </c>
      <c r="F16" s="7" t="inlineStr">
        <is>
          <t>fkey_instrument.relations.seed_relations</t>
        </is>
      </c>
    </row>
    <row r="17">
      <c r="A17" s="7" t="inlineStr">
        <is>
          <t>harmonic_relations</t>
        </is>
      </c>
      <c r="B17" s="7" t="inlineStr">
        <is>
          <t>REL-0092caed60</t>
        </is>
      </c>
      <c r="C17" s="7" t="inlineStr">
        <is>
          <t>frequency_relation</t>
        </is>
      </c>
      <c r="D17" s="7" t="inlineStr">
        <is>
          <t>DERIVED_ARITHMETIC</t>
        </is>
      </c>
      <c r="E17" s="7" t="inlineStr">
        <is>
          <t>PUBLIC</t>
        </is>
      </c>
      <c r="F17" s="7" t="inlineStr">
        <is>
          <t>fkey_instrument.relations.seed_relations</t>
        </is>
      </c>
    </row>
    <row r="18">
      <c r="A18" s="7" t="inlineStr">
        <is>
          <t>harmonic_relations</t>
        </is>
      </c>
      <c r="B18" s="7" t="inlineStr">
        <is>
          <t>REL-9d7b6631d4</t>
        </is>
      </c>
      <c r="C18" s="7" t="inlineStr">
        <is>
          <t>frequency_relation</t>
        </is>
      </c>
      <c r="D18" s="7" t="inlineStr">
        <is>
          <t>DERIVED_ARITHMETIC</t>
        </is>
      </c>
      <c r="E18" s="7" t="inlineStr">
        <is>
          <t>PUBLIC</t>
        </is>
      </c>
      <c r="F18" s="7" t="inlineStr">
        <is>
          <t>fkey_instrument.relations.seed_relations</t>
        </is>
      </c>
    </row>
    <row r="19">
      <c r="A19" s="7" t="inlineStr">
        <is>
          <t>harmonic_relations</t>
        </is>
      </c>
      <c r="B19" s="7" t="inlineStr">
        <is>
          <t>REL-ce4ace827a</t>
        </is>
      </c>
      <c r="C19" s="7" t="inlineStr">
        <is>
          <t>frequency_relation</t>
        </is>
      </c>
      <c r="D19" s="7" t="inlineStr">
        <is>
          <t>DERIVED_ARITHMETIC</t>
        </is>
      </c>
      <c r="E19" s="7" t="inlineStr">
        <is>
          <t>PUBLIC</t>
        </is>
      </c>
      <c r="F19" s="7" t="inlineStr">
        <is>
          <t>fkey_instrument.relations.seed_relations</t>
        </is>
      </c>
    </row>
    <row r="20">
      <c r="A20" s="7" t="inlineStr">
        <is>
          <t>harmonic_relations</t>
        </is>
      </c>
      <c r="B20" s="7" t="inlineStr">
        <is>
          <t>REL-d88fa855e3</t>
        </is>
      </c>
      <c r="C20" s="7" t="inlineStr">
        <is>
          <t>frequency_relation</t>
        </is>
      </c>
      <c r="D20" s="7" t="inlineStr">
        <is>
          <t>DERIVED_ARITHMETIC</t>
        </is>
      </c>
      <c r="E20" s="7" t="inlineStr">
        <is>
          <t>PUBLIC</t>
        </is>
      </c>
      <c r="F20" s="7" t="inlineStr">
        <is>
          <t>fkey_instrument.relations.seed_relations</t>
        </is>
      </c>
    </row>
    <row r="21">
      <c r="A21" s="6" t="inlineStr">
        <is>
          <t>specimens</t>
        </is>
      </c>
      <c r="B21" s="6" t="inlineStr">
        <is>
          <t>SP-EBAY-137330949270-PREARRIVAL</t>
        </is>
      </c>
      <c r="C21" s="6" t="inlineStr">
        <is>
          <t>specimen_revision</t>
        </is>
      </c>
      <c r="D21" s="6" t="inlineStr">
        <is>
          <t>SOURCE_CLAIM</t>
        </is>
      </c>
      <c r="E21" s="6" t="inlineStr">
        <is>
          <t>PUBLIC_SAFE</t>
        </is>
      </c>
      <c r="F21" s="6" t="inlineStr">
        <is>
          <t>pack data specimen_prearrival.json</t>
        </is>
      </c>
    </row>
    <row r="22">
      <c r="A22" s="8" t="inlineStr">
        <is>
          <t>mode_estimates</t>
        </is>
      </c>
      <c r="B22" s="8" t="inlineStr">
        <is>
          <t>MODE-91374d03b8</t>
        </is>
      </c>
      <c r="C22" s="8" t="inlineStr">
        <is>
          <t>mode_estimate</t>
        </is>
      </c>
      <c r="D22" s="8" t="inlineStr">
        <is>
          <t>ANALYTIC_MODEL</t>
        </is>
      </c>
      <c r="E22" s="8" t="inlineStr">
        <is>
          <t>PUBLIC</t>
        </is>
      </c>
      <c r="F22" s="8" t="inlineStr">
        <is>
          <t>crystal_mode.screening_modes (LEVEL0_1D_ROD)</t>
        </is>
      </c>
    </row>
    <row r="23">
      <c r="A23" s="8" t="inlineStr">
        <is>
          <t>timing_recipes</t>
        </is>
      </c>
      <c r="B23" s="8" t="inlineStr">
        <is>
          <t>RCP-a1a5271213</t>
        </is>
      </c>
      <c r="C23" s="8" t="inlineStr">
        <is>
          <t>sine</t>
        </is>
      </c>
      <c r="D23" s="8" t="inlineStr">
        <is>
          <t>ANALYTIC_MODEL</t>
        </is>
      </c>
      <c r="E23" s="8" t="inlineStr">
        <is>
          <t>PUBLIC</t>
        </is>
      </c>
      <c r="F23" s="8" t="inlineStr">
        <is>
          <t>fkey_instrument.optimizer.candidate_families</t>
        </is>
      </c>
    </row>
    <row r="24">
      <c r="A24" s="8" t="inlineStr">
        <is>
          <t>timing_recipes</t>
        </is>
      </c>
      <c r="B24" s="8" t="inlineStr">
        <is>
          <t>RCP-f1a8aecd3f</t>
        </is>
      </c>
      <c r="C24" s="8" t="inlineStr">
        <is>
          <t>square</t>
        </is>
      </c>
      <c r="D24" s="8" t="inlineStr">
        <is>
          <t>ANALYTIC_MODEL</t>
        </is>
      </c>
      <c r="E24" s="8" t="inlineStr">
        <is>
          <t>PUBLIC</t>
        </is>
      </c>
      <c r="F24" s="8" t="inlineStr">
        <is>
          <t>fkey_instrument.optimizer.candidate_families</t>
        </is>
      </c>
    </row>
    <row r="25">
      <c r="A25" s="8" t="inlineStr">
        <is>
          <t>timing_recipes</t>
        </is>
      </c>
      <c r="B25" s="8" t="inlineStr">
        <is>
          <t>RCP-e09e2e06d1</t>
        </is>
      </c>
      <c r="C25" s="8" t="inlineStr">
        <is>
          <t>sine</t>
        </is>
      </c>
      <c r="D25" s="8" t="inlineStr">
        <is>
          <t>ANALYTIC_MODEL</t>
        </is>
      </c>
      <c r="E25" s="8" t="inlineStr">
        <is>
          <t>PUBLIC</t>
        </is>
      </c>
      <c r="F25" s="8" t="inlineStr">
        <is>
          <t>fkey_instrument.optimizer.candidate_families</t>
        </is>
      </c>
    </row>
    <row r="26">
      <c r="A26" s="8" t="inlineStr">
        <is>
          <t>timing_recipes</t>
        </is>
      </c>
      <c r="B26" s="8" t="inlineStr">
        <is>
          <t>RCP-22f5a02776</t>
        </is>
      </c>
      <c r="C26" s="8" t="inlineStr">
        <is>
          <t>square</t>
        </is>
      </c>
      <c r="D26" s="8" t="inlineStr">
        <is>
          <t>ANALYTIC_MODEL</t>
        </is>
      </c>
      <c r="E26" s="8" t="inlineStr">
        <is>
          <t>PUBLIC</t>
        </is>
      </c>
      <c r="F26" s="8" t="inlineStr">
        <is>
          <t>fkey_instrument.optimizer.candidate_families</t>
        </is>
      </c>
    </row>
    <row r="27">
      <c r="A27" s="8" t="inlineStr">
        <is>
          <t>timing_recipes</t>
        </is>
      </c>
      <c r="B27" s="8" t="inlineStr">
        <is>
          <t>RCP-b76cef72fa</t>
        </is>
      </c>
      <c r="C27" s="8" t="inlineStr">
        <is>
          <t>sine</t>
        </is>
      </c>
      <c r="D27" s="8" t="inlineStr">
        <is>
          <t>ANALYTIC_MODEL</t>
        </is>
      </c>
      <c r="E27" s="8" t="inlineStr">
        <is>
          <t>PUBLIC</t>
        </is>
      </c>
      <c r="F27" s="8" t="inlineStr">
        <is>
          <t>fkey_instrument.optimizer.candidate_families</t>
        </is>
      </c>
    </row>
    <row r="28">
      <c r="A28" s="8" t="inlineStr">
        <is>
          <t>timing_recipes</t>
        </is>
      </c>
      <c r="B28" s="8" t="inlineStr">
        <is>
          <t>RCP-9ebb2c238b</t>
        </is>
      </c>
      <c r="C28" s="8" t="inlineStr">
        <is>
          <t>square</t>
        </is>
      </c>
      <c r="D28" s="8" t="inlineStr">
        <is>
          <t>ANALYTIC_MODEL</t>
        </is>
      </c>
      <c r="E28" s="8" t="inlineStr">
        <is>
          <t>PUBLIC</t>
        </is>
      </c>
      <c r="F28" s="8" t="inlineStr">
        <is>
          <t>fkey_instrument.optimizer.candidate_families</t>
        </is>
      </c>
    </row>
    <row r="29">
      <c r="A29" s="8" t="inlineStr">
        <is>
          <t>timing_recipes</t>
        </is>
      </c>
      <c r="B29" s="8" t="inlineStr">
        <is>
          <t>RCP-be4978f5dd</t>
        </is>
      </c>
      <c r="C29" s="8" t="inlineStr">
        <is>
          <t>sine</t>
        </is>
      </c>
      <c r="D29" s="8" t="inlineStr">
        <is>
          <t>ANALYTIC_MODEL</t>
        </is>
      </c>
      <c r="E29" s="8" t="inlineStr">
        <is>
          <t>PUBLIC</t>
        </is>
      </c>
      <c r="F29" s="8" t="inlineStr">
        <is>
          <t>fkey_instrument.optimizer.candidate_families</t>
        </is>
      </c>
    </row>
    <row r="30">
      <c r="A30" s="8" t="inlineStr">
        <is>
          <t>timing_recipes</t>
        </is>
      </c>
      <c r="B30" s="8" t="inlineStr">
        <is>
          <t>RCP-0dded2b015</t>
        </is>
      </c>
      <c r="C30" s="8" t="inlineStr">
        <is>
          <t>off</t>
        </is>
      </c>
      <c r="D30" s="8" t="inlineStr">
        <is>
          <t>ANALYTIC_MODEL</t>
        </is>
      </c>
      <c r="E30" s="8" t="inlineStr">
        <is>
          <t>PUBLIC</t>
        </is>
      </c>
      <c r="F30" s="8" t="inlineStr">
        <is>
          <t>fkey_instrument.optimizer.candidate_families</t>
        </is>
      </c>
    </row>
    <row r="31">
      <c r="A31" s="8" t="inlineStr">
        <is>
          <t>timing_recipes</t>
        </is>
      </c>
      <c r="B31" s="8" t="inlineStr">
        <is>
          <t>RCP-f815152ffb</t>
        </is>
      </c>
      <c r="C31" s="8" t="inlineStr">
        <is>
          <t>square</t>
        </is>
      </c>
      <c r="D31" s="8" t="inlineStr">
        <is>
          <t>ANALYTIC_MODEL</t>
        </is>
      </c>
      <c r="E31" s="8" t="inlineStr">
        <is>
          <t>PUBLIC</t>
        </is>
      </c>
      <c r="F31" s="8" t="inlineStr">
        <is>
          <t>fkey_instrument.optimizer.candidate_families</t>
        </is>
      </c>
    </row>
    <row r="32">
      <c r="A32" s="8" t="inlineStr">
        <is>
          <t>timing_recipes</t>
        </is>
      </c>
      <c r="B32" s="8" t="inlineStr">
        <is>
          <t>RCP-73a82356a9</t>
        </is>
      </c>
      <c r="C32" s="8" t="inlineStr">
        <is>
          <t>sweep</t>
        </is>
      </c>
      <c r="D32" s="8" t="inlineStr">
        <is>
          <t>ANALYTIC_MODEL</t>
        </is>
      </c>
      <c r="E32" s="8" t="inlineStr">
        <is>
          <t>PUBLIC</t>
        </is>
      </c>
      <c r="F32" s="8" t="inlineStr">
        <is>
          <t>fkey_instrument.optimizer.candidate_families</t>
        </is>
      </c>
    </row>
    <row r="33">
      <c r="A33" s="8" t="inlineStr">
        <is>
          <t>timing_recipes</t>
        </is>
      </c>
      <c r="B33" s="8" t="inlineStr">
        <is>
          <t>RCP-9eb32725e3</t>
        </is>
      </c>
      <c r="C33" s="8" t="inlineStr">
        <is>
          <t>sine</t>
        </is>
      </c>
      <c r="D33" s="8" t="inlineStr">
        <is>
          <t>ANALYTIC_MODEL</t>
        </is>
      </c>
      <c r="E33" s="8" t="inlineStr">
        <is>
          <t>PUBLIC</t>
        </is>
      </c>
      <c r="F33" s="8" t="inlineStr">
        <is>
          <t>fkey_instrument.optimizer.candidate_families</t>
        </is>
      </c>
    </row>
    <row r="34">
      <c r="A34" s="8" t="inlineStr">
        <is>
          <t>hypotheses</t>
        </is>
      </c>
      <c r="B34" s="8" t="inlineStr">
        <is>
          <t>H-KEY-HARMONIC-01</t>
        </is>
      </c>
      <c r="C34" s="8" t="inlineStr">
        <is>
          <t>hypothesis</t>
        </is>
      </c>
      <c r="D34" s="8" t="inlineStr">
        <is>
          <t>ANALYTIC_MODEL</t>
        </is>
      </c>
      <c r="E34" s="8" t="inlineStr">
        <is>
          <t>PUBLIC</t>
        </is>
      </c>
      <c r="F34" s="8" t="inlineStr">
        <is>
          <t>fkey_instrument.optimizer.HYPOTHESES</t>
        </is>
      </c>
    </row>
    <row r="35">
      <c r="A35" s="8" t="inlineStr">
        <is>
          <t>hypotheses</t>
        </is>
      </c>
      <c r="B35" s="8" t="inlineStr">
        <is>
          <t>H-EQUIV-SPECTRUM-01</t>
        </is>
      </c>
      <c r="C35" s="8" t="inlineStr">
        <is>
          <t>hypothesis</t>
        </is>
      </c>
      <c r="D35" s="8" t="inlineStr">
        <is>
          <t>ANALYTIC_MODEL</t>
        </is>
      </c>
      <c r="E35" s="8" t="inlineStr">
        <is>
          <t>PUBLIC</t>
        </is>
      </c>
      <c r="F35" s="8" t="inlineStr">
        <is>
          <t>fkey_instrument.optimizer.HYPOTHESES</t>
        </is>
      </c>
    </row>
    <row r="36">
      <c r="A36" s="8" t="inlineStr">
        <is>
          <t>hypotheses</t>
        </is>
      </c>
      <c r="B36" s="8" t="inlineStr">
        <is>
          <t>H-RESONANCE-LOCK-01</t>
        </is>
      </c>
      <c r="C36" s="8" t="inlineStr">
        <is>
          <t>hypothesis</t>
        </is>
      </c>
      <c r="D36" s="8" t="inlineStr">
        <is>
          <t>ANALYTIC_MODEL</t>
        </is>
      </c>
      <c r="E36" s="8" t="inlineStr">
        <is>
          <t>PUBLIC</t>
        </is>
      </c>
      <c r="F36" s="8" t="inlineStr">
        <is>
          <t>fkey_instrument.optimizer.HYPOTHESES</t>
        </is>
      </c>
    </row>
    <row r="37">
      <c r="A37" s="8" t="inlineStr">
        <is>
          <t>hypotheses</t>
        </is>
      </c>
      <c r="B37" s="8" t="inlineStr">
        <is>
          <t>H-FIXTURE-LOAD-01</t>
        </is>
      </c>
      <c r="C37" s="8" t="inlineStr">
        <is>
          <t>hypothesis</t>
        </is>
      </c>
      <c r="D37" s="8" t="inlineStr">
        <is>
          <t>ANALYTIC_MODEL</t>
        </is>
      </c>
      <c r="E37" s="8" t="inlineStr">
        <is>
          <t>PUBLIC</t>
        </is>
      </c>
      <c r="F37" s="8" t="inlineStr">
        <is>
          <t>fkey_instrument.optimizer.HYPOTHESES</t>
        </is>
      </c>
    </row>
    <row r="38">
      <c r="A38" s="8" t="inlineStr">
        <is>
          <t>hypotheses</t>
        </is>
      </c>
      <c r="B38" s="8" t="inlineStr">
        <is>
          <t>H-HIGHORDER-MIX-NULL</t>
        </is>
      </c>
      <c r="C38" s="8" t="inlineStr">
        <is>
          <t>hypothesis</t>
        </is>
      </c>
      <c r="D38" s="8" t="inlineStr">
        <is>
          <t>ANALYTIC_MODEL</t>
        </is>
      </c>
      <c r="E38" s="8" t="inlineStr">
        <is>
          <t>PUBLIC</t>
        </is>
      </c>
      <c r="F38" s="8" t="inlineStr">
        <is>
          <t>fkey_instrument.optimizer.HYPOTHESES</t>
        </is>
      </c>
    </row>
    <row r="39">
      <c r="A39" s="8" t="inlineStr">
        <is>
          <t>hypotheses</t>
        </is>
      </c>
      <c r="B39" s="8" t="inlineStr">
        <is>
          <t>H-ANOMALOUS-RESIDUAL-NULL</t>
        </is>
      </c>
      <c r="C39" s="8" t="inlineStr">
        <is>
          <t>hypothesis</t>
        </is>
      </c>
      <c r="D39" s="8" t="inlineStr">
        <is>
          <t>ANALYTIC_MODEL</t>
        </is>
      </c>
      <c r="E39" s="8" t="inlineStr">
        <is>
          <t>PUBLIC</t>
        </is>
      </c>
      <c r="F39" s="8" t="inlineStr">
        <is>
          <t>fkey_instrument.optimizer.HYPOTHESES</t>
        </is>
      </c>
    </row>
    <row r="40">
      <c r="A40" s="9" t="inlineStr">
        <is>
          <t>eye_results</t>
        </is>
      </c>
      <c r="B40" s="9" t="inlineStr">
        <is>
          <t>EYE-V41-CANONICAL</t>
        </is>
      </c>
      <c r="C40" s="9" t="inlineStr">
        <is>
          <t>eye_record</t>
        </is>
      </c>
      <c r="D40" s="9" t="inlineStr">
        <is>
          <t>NUMERICAL_SIMULATION</t>
        </is>
      </c>
      <c r="E40" s="9" t="inlineStr">
        <is>
          <t>PUBLIC</t>
        </is>
      </c>
      <c r="F40" s="9" t="inlineStr">
        <is>
          <t>rscs2_core.eye_ladder_analysis.CANONICAL_V41</t>
        </is>
      </c>
    </row>
    <row r="41">
      <c r="A41" s="9" t="inlineStr">
        <is>
          <t>eye_results</t>
        </is>
      </c>
      <c r="B41" s="9" t="inlineStr">
        <is>
          <t>EYE-V421-V5</t>
        </is>
      </c>
      <c r="C41" s="9" t="inlineStr">
        <is>
          <t>eye_record</t>
        </is>
      </c>
      <c r="D41" s="9" t="inlineStr">
        <is>
          <t>NUMERICAL_SIMULATION</t>
        </is>
      </c>
      <c r="E41" s="9" t="inlineStr">
        <is>
          <t>PUBLIC</t>
        </is>
      </c>
      <c r="F41" s="9" t="inlineStr">
        <is>
          <t>rscs2_core.eye_ladder_analysis.V421_LADDER</t>
        </is>
      </c>
    </row>
    <row r="42">
      <c r="A42" s="10" t="inlineStr">
        <is>
          <t>resonator_platform</t>
        </is>
      </c>
      <c r="B42" s="10" t="inlineStr">
        <is>
          <t>SPECIMEN-40ba9443285a</t>
        </is>
      </c>
      <c r="C42" s="10" t="inlineStr">
        <is>
          <t>resonator_certificate</t>
        </is>
      </c>
      <c r="D42" s="10" t="inlineStr">
        <is>
          <t>SYNTHETIC_RUN</t>
        </is>
      </c>
      <c r="E42" s="10" t="inlineStr">
        <is>
          <t>PUBLIC</t>
        </is>
      </c>
      <c r="F42" s="10" t="inlineStr">
        <is>
          <t>resonator_platform.campaign.run_campaign(seed=7)</t>
        </is>
      </c>
    </row>
    <row r="43">
      <c r="A43" s="6" t="inlineStr">
        <is>
          <t>hardware_bom</t>
        </is>
      </c>
      <c r="B43" s="6" t="inlineStr">
        <is>
          <t>HW-7248373726</t>
        </is>
      </c>
      <c r="C43" s="6" t="inlineStr">
        <is>
          <t>board_profile</t>
        </is>
      </c>
      <c r="D43" s="6" t="inlineStr">
        <is>
          <t>SOURCE_CLAIM</t>
        </is>
      </c>
      <c r="E43" s="6" t="inlineStr">
        <is>
          <t>PUBLIC</t>
        </is>
      </c>
      <c r="F43" s="6" t="inlineStr">
        <is>
          <t>fkey_instrument.boards (community docs)</t>
        </is>
      </c>
    </row>
    <row r="44">
      <c r="A44" s="6" t="inlineStr">
        <is>
          <t>hardware_bom</t>
        </is>
      </c>
      <c r="B44" s="6" t="inlineStr">
        <is>
          <t>HW-fa5f7a76f7</t>
        </is>
      </c>
      <c r="C44" s="6" t="inlineStr">
        <is>
          <t>board_profile</t>
        </is>
      </c>
      <c r="D44" s="6" t="inlineStr">
        <is>
          <t>SOURCE_CLAIM</t>
        </is>
      </c>
      <c r="E44" s="6" t="inlineStr">
        <is>
          <t>PUBLIC</t>
        </is>
      </c>
      <c r="F44" s="6" t="inlineStr">
        <is>
          <t>fkey_instrument.boards (community docs)</t>
        </is>
      </c>
    </row>
    <row r="45">
      <c r="A45" s="8" t="inlineStr">
        <is>
          <t>hardware_bom</t>
        </is>
      </c>
      <c r="B45" s="8" t="inlineStr">
        <is>
          <t>BOM-f90a86d0bb</t>
        </is>
      </c>
      <c r="C45" s="8" t="inlineStr">
        <is>
          <t>bom_item</t>
        </is>
      </c>
      <c r="D45" s="8" t="inlineStr">
        <is>
          <t>ANALYTIC_MODEL</t>
        </is>
      </c>
      <c r="E45" s="8" t="inlineStr">
        <is>
          <t>PUBLIC</t>
        </is>
      </c>
      <c r="F45" s="8" t="inlineStr">
        <is>
          <t>docs/v4/fkey/BOM_WIRING_GEN0.md</t>
        </is>
      </c>
    </row>
    <row r="46">
      <c r="A46" s="8" t="inlineStr">
        <is>
          <t>hardware_bom</t>
        </is>
      </c>
      <c r="B46" s="8" t="inlineStr">
        <is>
          <t>BOM-9043ce0521</t>
        </is>
      </c>
      <c r="C46" s="8" t="inlineStr">
        <is>
          <t>bom_item</t>
        </is>
      </c>
      <c r="D46" s="8" t="inlineStr">
        <is>
          <t>ANALYTIC_MODEL</t>
        </is>
      </c>
      <c r="E46" s="8" t="inlineStr">
        <is>
          <t>PUBLIC</t>
        </is>
      </c>
      <c r="F46" s="8" t="inlineStr">
        <is>
          <t>docs/v4/fkey/BOM_WIRING_GEN0.md</t>
        </is>
      </c>
    </row>
    <row r="47">
      <c r="A47" s="8" t="inlineStr">
        <is>
          <t>hardware_bom</t>
        </is>
      </c>
      <c r="B47" s="8" t="inlineStr">
        <is>
          <t>BOM-8cac66963e</t>
        </is>
      </c>
      <c r="C47" s="8" t="inlineStr">
        <is>
          <t>bom_item</t>
        </is>
      </c>
      <c r="D47" s="8" t="inlineStr">
        <is>
          <t>ANALYTIC_MODEL</t>
        </is>
      </c>
      <c r="E47" s="8" t="inlineStr">
        <is>
          <t>PUBLIC</t>
        </is>
      </c>
      <c r="F47" s="8" t="inlineStr">
        <is>
          <t>docs/v4/fkey/BOM_WIRING_GEN0.md</t>
        </is>
      </c>
    </row>
    <row r="48">
      <c r="A48" s="8" t="inlineStr">
        <is>
          <t>hardware_bom</t>
        </is>
      </c>
      <c r="B48" s="8" t="inlineStr">
        <is>
          <t>BOM-80b329afeb</t>
        </is>
      </c>
      <c r="C48" s="8" t="inlineStr">
        <is>
          <t>bom_item</t>
        </is>
      </c>
      <c r="D48" s="8" t="inlineStr">
        <is>
          <t>ANALYTIC_MODEL</t>
        </is>
      </c>
      <c r="E48" s="8" t="inlineStr">
        <is>
          <t>PUBLIC</t>
        </is>
      </c>
      <c r="F48" s="8" t="inlineStr">
        <is>
          <t>docs/v4/fkey/BOM_WIRING_GEN0.md</t>
        </is>
      </c>
    </row>
    <row r="49">
      <c r="A49" s="8" t="inlineStr">
        <is>
          <t>hardware_bom</t>
        </is>
      </c>
      <c r="B49" s="8" t="inlineStr">
        <is>
          <t>BOM-3d516ad5e5</t>
        </is>
      </c>
      <c r="C49" s="8" t="inlineStr">
        <is>
          <t>bom_item</t>
        </is>
      </c>
      <c r="D49" s="8" t="inlineStr">
        <is>
          <t>ANALYTIC_MODEL</t>
        </is>
      </c>
      <c r="E49" s="8" t="inlineStr">
        <is>
          <t>PUBLIC</t>
        </is>
      </c>
      <c r="F49" s="8" t="inlineStr">
        <is>
          <t>docs/v4/fkey/BOM_WIRING_GEN0.md</t>
        </is>
      </c>
    </row>
    <row r="50">
      <c r="A50" s="8" t="inlineStr">
        <is>
          <t>hardware_bom</t>
        </is>
      </c>
      <c r="B50" s="8" t="inlineStr">
        <is>
          <t>BOM-6b5661d323</t>
        </is>
      </c>
      <c r="C50" s="8" t="inlineStr">
        <is>
          <t>bom_item</t>
        </is>
      </c>
      <c r="D50" s="8" t="inlineStr">
        <is>
          <t>ANALYTIC_MODEL</t>
        </is>
      </c>
      <c r="E50" s="8" t="inlineStr">
        <is>
          <t>PUBLIC</t>
        </is>
      </c>
      <c r="F50" s="8" t="inlineStr">
        <is>
          <t>docs/v4/fkey/BOM_WIRING_GEN0.md</t>
        </is>
      </c>
    </row>
    <row r="51">
      <c r="A51" s="8" t="inlineStr">
        <is>
          <t>experiment_queue</t>
        </is>
      </c>
      <c r="B51" s="8" t="inlineStr">
        <is>
          <t>EXP-cbf6cf30a5</t>
        </is>
      </c>
      <c r="C51" s="8" t="inlineStr">
        <is>
          <t>experiment</t>
        </is>
      </c>
      <c r="D51" s="8" t="inlineStr">
        <is>
          <t>ANALYTIC_MODEL</t>
        </is>
      </c>
      <c r="E51" s="8" t="inlineStr">
        <is>
          <t>PUBLIC</t>
        </is>
      </c>
      <c r="F51" s="8" t="inlineStr">
        <is>
          <t>fkey_instrument.optimizer.CAMPAIGNS</t>
        </is>
      </c>
    </row>
    <row r="52">
      <c r="A52" s="8" t="inlineStr">
        <is>
          <t>experiment_queue</t>
        </is>
      </c>
      <c r="B52" s="8" t="inlineStr">
        <is>
          <t>EXP-8057b26115</t>
        </is>
      </c>
      <c r="C52" s="8" t="inlineStr">
        <is>
          <t>experiment</t>
        </is>
      </c>
      <c r="D52" s="8" t="inlineStr">
        <is>
          <t>ANALYTIC_MODEL</t>
        </is>
      </c>
      <c r="E52" s="8" t="inlineStr">
        <is>
          <t>PUBLIC</t>
        </is>
      </c>
      <c r="F52" s="8" t="inlineStr">
        <is>
          <t>fkey_instrument.optimizer.CAMPAIGNS</t>
        </is>
      </c>
    </row>
    <row r="53">
      <c r="A53" s="8" t="inlineStr">
        <is>
          <t>experiment_queue</t>
        </is>
      </c>
      <c r="B53" s="8" t="inlineStr">
        <is>
          <t>EXP-605171148d</t>
        </is>
      </c>
      <c r="C53" s="8" t="inlineStr">
        <is>
          <t>experiment</t>
        </is>
      </c>
      <c r="D53" s="8" t="inlineStr">
        <is>
          <t>ANALYTIC_MODEL</t>
        </is>
      </c>
      <c r="E53" s="8" t="inlineStr">
        <is>
          <t>PUBLIC</t>
        </is>
      </c>
      <c r="F53" s="8" t="inlineStr">
        <is>
          <t>fkey_instrument.optimizer.CAMPAIGNS</t>
        </is>
      </c>
    </row>
    <row r="54">
      <c r="A54" s="8" t="inlineStr">
        <is>
          <t>experiment_queue</t>
        </is>
      </c>
      <c r="B54" s="8" t="inlineStr">
        <is>
          <t>EXP-37d7772d76</t>
        </is>
      </c>
      <c r="C54" s="8" t="inlineStr">
        <is>
          <t>experiment</t>
        </is>
      </c>
      <c r="D54" s="8" t="inlineStr">
        <is>
          <t>ANALYTIC_MODEL</t>
        </is>
      </c>
      <c r="E54" s="8" t="inlineStr">
        <is>
          <t>PUBLIC</t>
        </is>
      </c>
      <c r="F54" s="8" t="inlineStr">
        <is>
          <t>fkey_instrument.optimizer.CAMPAIGNS</t>
        </is>
      </c>
    </row>
    <row r="55">
      <c r="A55" s="8" t="inlineStr">
        <is>
          <t>experiment_queue</t>
        </is>
      </c>
      <c r="B55" s="8" t="inlineStr">
        <is>
          <t>EXP-81f4a97823</t>
        </is>
      </c>
      <c r="C55" s="8" t="inlineStr">
        <is>
          <t>experiment</t>
        </is>
      </c>
      <c r="D55" s="8" t="inlineStr">
        <is>
          <t>ANALYTIC_MODEL</t>
        </is>
      </c>
      <c r="E55" s="8" t="inlineStr">
        <is>
          <t>PUBLIC</t>
        </is>
      </c>
      <c r="F55" s="8" t="inlineStr">
        <is>
          <t>fkey_instrument.optimizer.CAMPAIGNS</t>
        </is>
      </c>
    </row>
    <row r="56">
      <c r="A56" s="8" t="inlineStr">
        <is>
          <t>experiment_queue</t>
        </is>
      </c>
      <c r="B56" s="8" t="inlineStr">
        <is>
          <t>EXP-88d1574e7d</t>
        </is>
      </c>
      <c r="C56" s="8" t="inlineStr">
        <is>
          <t>experiment</t>
        </is>
      </c>
      <c r="D56" s="8" t="inlineStr">
        <is>
          <t>ANALYTIC_MODEL</t>
        </is>
      </c>
      <c r="E56" s="8" t="inlineStr">
        <is>
          <t>PUBLIC</t>
        </is>
      </c>
      <c r="F56" s="8" t="inlineStr">
        <is>
          <t>fkey_instrument.optimizer.CAMPAIGNS</t>
        </is>
      </c>
    </row>
    <row r="57">
      <c r="A57" s="8" t="inlineStr">
        <is>
          <t>experiment_queue</t>
        </is>
      </c>
      <c r="B57" s="8" t="inlineStr">
        <is>
          <t>EXP-1a93f49103</t>
        </is>
      </c>
      <c r="C57" s="8" t="inlineStr">
        <is>
          <t>experiment</t>
        </is>
      </c>
      <c r="D57" s="8" t="inlineStr">
        <is>
          <t>ANALYTIC_MODEL</t>
        </is>
      </c>
      <c r="E57" s="8" t="inlineStr">
        <is>
          <t>PUBLIC</t>
        </is>
      </c>
      <c r="F57" s="8" t="inlineStr">
        <is>
          <t>fkey_instrument.optimizer.CAMPAIGNS</t>
        </is>
      </c>
    </row>
    <row r="58">
      <c r="A58" s="8" t="inlineStr">
        <is>
          <t>experiment_queue</t>
        </is>
      </c>
      <c r="B58" s="8" t="inlineStr">
        <is>
          <t>EXP-fcb6bff5ab</t>
        </is>
      </c>
      <c r="C58" s="8" t="inlineStr">
        <is>
          <t>experiment</t>
        </is>
      </c>
      <c r="D58" s="8" t="inlineStr">
        <is>
          <t>ANALYTIC_MODEL</t>
        </is>
      </c>
      <c r="E58" s="8" t="inlineStr">
        <is>
          <t>PUBLIC</t>
        </is>
      </c>
      <c r="F58" s="8" t="inlineStr">
        <is>
          <t>fkey_instrument.optimizer.CAMPAIGNS</t>
        </is>
      </c>
    </row>
    <row r="59">
      <c r="A59" s="7" t="inlineStr">
        <is>
          <t>corrections</t>
        </is>
      </c>
      <c r="B59" s="7" t="inlineStr">
        <is>
          <t>FK-CORR-001</t>
        </is>
      </c>
      <c r="C59" s="7" t="inlineStr">
        <is>
          <t>correction</t>
        </is>
      </c>
      <c r="D59" s="7" t="inlineStr">
        <is>
          <t>DERIVED_ARITHMETIC</t>
        </is>
      </c>
      <c r="E59" s="7" t="inlineStr">
        <is>
          <t>PUBLIC</t>
        </is>
      </c>
      <c r="F59" s="7" t="inlineStr">
        <is>
          <t>fkey_instrument.crystal_mode.target_errors</t>
        </is>
      </c>
    </row>
    <row r="60">
      <c r="A60" s="7" t="inlineStr">
        <is>
          <t>corrections</t>
        </is>
      </c>
      <c r="B60" s="7" t="inlineStr">
        <is>
          <t>V4X-D-005</t>
        </is>
      </c>
      <c r="C60" s="7" t="inlineStr">
        <is>
          <t>correction</t>
        </is>
      </c>
      <c r="D60" s="7" t="inlineStr">
        <is>
          <t>DERIVED_ARITHMETIC</t>
        </is>
      </c>
      <c r="E60" s="7" t="inlineStr">
        <is>
          <t>PUBLIC</t>
        </is>
      </c>
      <c r="F60" s="7" t="inlineStr">
        <is>
          <t>docs/v4/V4X_DEFECT_REGISTER.md</t>
        </is>
      </c>
    </row>
    <row r="61">
      <c r="A61" s="7" t="inlineStr">
        <is>
          <t>corrections</t>
        </is>
      </c>
      <c r="B61" s="7" t="inlineStr">
        <is>
          <t>EYE-CARD-v4</t>
        </is>
      </c>
      <c r="C61" s="7" t="inlineStr">
        <is>
          <t>correction</t>
        </is>
      </c>
      <c r="D61" s="7" t="inlineStr">
        <is>
          <t>DERIVED_ARITHMETIC</t>
        </is>
      </c>
      <c r="E61" s="7" t="inlineStr">
        <is>
          <t>PUBLIC</t>
        </is>
      </c>
      <c r="F61" s="7" t="inlineStr">
        <is>
          <t>docs/v4/EYE_CLAIM_CARD.md</t>
        </is>
      </c>
    </row>
    <row r="62">
      <c r="A62" s="7" t="inlineStr">
        <is>
          <t>corrections</t>
        </is>
      </c>
      <c r="B62" s="7" t="inlineStr">
        <is>
          <t>V4X-D-004</t>
        </is>
      </c>
      <c r="C62" s="7" t="inlineStr">
        <is>
          <t>correction</t>
        </is>
      </c>
      <c r="D62" s="7" t="inlineStr">
        <is>
          <t>DERIVED_ARITHMETIC</t>
        </is>
      </c>
      <c r="E62" s="7" t="inlineStr">
        <is>
          <t>PUBLIC</t>
        </is>
      </c>
      <c r="F62" s="7" t="inlineStr">
        <is>
          <t>docs/v4/V4X_DEFECT_REGISTER.md</t>
        </is>
      </c>
    </row>
    <row r="63">
      <c r="A63" s="7" t="inlineStr">
        <is>
          <t>corrections</t>
        </is>
      </c>
      <c r="B63" s="7" t="inlineStr">
        <is>
          <t>CSPC-CORR-001</t>
        </is>
      </c>
      <c r="C63" s="7" t="inlineStr">
        <is>
          <t>correction</t>
        </is>
      </c>
      <c r="D63" s="7" t="inlineStr">
        <is>
          <t>DERIVED_ARITHMETIC</t>
        </is>
      </c>
      <c r="E63" s="7" t="inlineStr">
        <is>
          <t>PUBLIC</t>
        </is>
      </c>
      <c r="F63" s="7" t="inlineStr">
        <is>
          <t>dielectric relaxation spectroscopy; ITU ISM band allocation</t>
        </is>
      </c>
    </row>
    <row r="64">
      <c r="A64" s="7" t="inlineStr">
        <is>
          <t>corrections</t>
        </is>
      </c>
      <c r="B64" s="7" t="inlineStr">
        <is>
          <t>CSPC-CORR-002</t>
        </is>
      </c>
      <c r="C64" s="7" t="inlineStr">
        <is>
          <t>correction</t>
        </is>
      </c>
      <c r="D64" s="7" t="inlineStr">
        <is>
          <t>DERIVED_ARITHMETIC</t>
        </is>
      </c>
      <c r="E64" s="7" t="inlineStr">
        <is>
          <t>PUBLIC</t>
        </is>
      </c>
      <c r="F64" s="7" t="inlineStr">
        <is>
          <t>cspc.exact.DDS_36BIT_LSB; dimensional audit (cspc.units)</t>
        </is>
      </c>
    </row>
    <row r="65">
      <c r="A65" s="7" t="inlineStr">
        <is>
          <t>corrections</t>
        </is>
      </c>
      <c r="B65" s="7" t="inlineStr">
        <is>
          <t>CSPC-CORR-003</t>
        </is>
      </c>
      <c r="C65" s="7" t="inlineStr">
        <is>
          <t>correction</t>
        </is>
      </c>
      <c r="D65" s="7" t="inlineStr">
        <is>
          <t>DERIVED_ARITHMETIC</t>
        </is>
      </c>
      <c r="E65" s="7" t="inlineStr">
        <is>
          <t>PUBLIC</t>
        </is>
      </c>
      <c r="F65" s="7" t="inlineStr">
        <is>
          <t>definition of octave; 8^n = 2^(3n)</t>
        </is>
      </c>
    </row>
    <row r="66">
      <c r="A66" s="7" t="inlineStr">
        <is>
          <t>corrections</t>
        </is>
      </c>
      <c r="B66" s="7" t="inlineStr">
        <is>
          <t>CSPC-CORR-004</t>
        </is>
      </c>
      <c r="C66" s="7" t="inlineStr">
        <is>
          <t>correction</t>
        </is>
      </c>
      <c r="D66" s="7" t="inlineStr">
        <is>
          <t>DERIVED_ARITHMETIC</t>
        </is>
      </c>
      <c r="E66" s="7" t="inlineStr">
        <is>
          <t>PUBLIC</t>
        </is>
      </c>
      <c r="F66" s="7" t="inlineStr">
        <is>
          <t>cspc transfer firewalls ARITHMETIC_TO_SPECTRUM, SPECTRUM_TO_COUPLING, TEMPORAL_ORDER_TO_TRAVEL</t>
        </is>
      </c>
    </row>
    <row r="67">
      <c r="A67" s="7" t="inlineStr">
        <is>
          <t>corrections</t>
        </is>
      </c>
      <c r="B67" s="7" t="inlineStr">
        <is>
          <t>CSPC-CORR-005</t>
        </is>
      </c>
      <c r="C67" s="7" t="inlineStr">
        <is>
          <t>correction</t>
        </is>
      </c>
      <c r="D67" s="7" t="inlineStr">
        <is>
          <t>DERIVED_ARITHMETIC</t>
        </is>
      </c>
      <c r="E67" s="7" t="inlineStr">
        <is>
          <t>PUBLIC</t>
        </is>
      </c>
      <c r="F67" s="7" t="inlineStr">
        <is>
          <t>transfer firewall SOURCE_PRECISION_TO_MEASUREMENT_PRECISION; cspc.units.Quantity.precision_audit</t>
        </is>
      </c>
    </row>
    <row r="68">
      <c r="A68" s="8" t="inlineStr">
        <is>
          <t>corrections</t>
        </is>
      </c>
      <c r="B68" s="8" t="inlineStr">
        <is>
          <t>CSPC-CORR-001-QUANT</t>
        </is>
      </c>
      <c r="C68" s="8" t="inlineStr">
        <is>
          <t>correction</t>
        </is>
      </c>
      <c r="D68" s="8" t="inlineStr">
        <is>
          <t>ANALYTIC_MODEL</t>
        </is>
      </c>
      <c r="E68" s="8" t="inlineStr">
        <is>
          <t>PUBLIC</t>
        </is>
      </c>
      <c r="F68" s="8" t="inlineStr">
        <is>
          <t>cspc.experiments.water_2g45_correction</t>
        </is>
      </c>
    </row>
    <row r="69">
      <c r="A69" s="7" t="inlineStr">
        <is>
          <t>cspc_candidates</t>
        </is>
      </c>
      <c r="B69" s="7" t="inlineStr">
        <is>
          <t>FKEY-CSPC-DELTA</t>
        </is>
      </c>
      <c r="C69" s="7" t="inlineStr">
        <is>
          <t>cspc_candidate</t>
        </is>
      </c>
      <c r="D69" s="7" t="inlineStr">
        <is>
          <t>DERIVED_ARITHMETIC</t>
        </is>
      </c>
      <c r="E69" s="7" t="inlineStr">
        <is>
          <t>PUBLIC</t>
        </is>
      </c>
      <c r="F69" s="7" t="inlineStr">
        <is>
          <t>2.45e9 / 2^36</t>
        </is>
      </c>
    </row>
    <row r="70">
      <c r="A70" s="7" t="inlineStr">
        <is>
          <t>cspc_candidates</t>
        </is>
      </c>
      <c r="B70" s="7" t="inlineStr">
        <is>
          <t>FKEY-CSPC-FOLD-5</t>
        </is>
      </c>
      <c r="C70" s="7" t="inlineStr">
        <is>
          <t>cspc_candidate</t>
        </is>
      </c>
      <c r="D70" s="7" t="inlineStr">
        <is>
          <t>DERIVED_ARITHMETIC</t>
        </is>
      </c>
      <c r="E70" s="7" t="inlineStr">
        <is>
          <t>PUBLIC</t>
        </is>
      </c>
      <c r="F70" s="7" t="inlineStr">
        <is>
          <t>2.45e9 / 8^5</t>
        </is>
      </c>
    </row>
    <row r="71">
      <c r="A71" s="7" t="inlineStr">
        <is>
          <t>cspc_candidates</t>
        </is>
      </c>
      <c r="B71" s="7" t="inlineStr">
        <is>
          <t>FKEY-CSPC-FOLD-6</t>
        </is>
      </c>
      <c r="C71" s="7" t="inlineStr">
        <is>
          <t>cspc_candidate</t>
        </is>
      </c>
      <c r="D71" s="7" t="inlineStr">
        <is>
          <t>DERIVED_ARITHMETIC</t>
        </is>
      </c>
      <c r="E71" s="7" t="inlineStr">
        <is>
          <t>PUBLIC</t>
        </is>
      </c>
      <c r="F71" s="7" t="inlineStr">
        <is>
          <t>2.45e9 / 8^6</t>
        </is>
      </c>
    </row>
    <row r="72">
      <c r="A72" s="7" t="inlineStr">
        <is>
          <t>cspc_candidates</t>
        </is>
      </c>
      <c r="B72" s="7" t="inlineStr">
        <is>
          <t>FKEY-CSPC-FOLD-7</t>
        </is>
      </c>
      <c r="C72" s="7" t="inlineStr">
        <is>
          <t>cspc_candidate</t>
        </is>
      </c>
      <c r="D72" s="7" t="inlineStr">
        <is>
          <t>DERIVED_ARITHMETIC</t>
        </is>
      </c>
      <c r="E72" s="7" t="inlineStr">
        <is>
          <t>PUBLIC</t>
        </is>
      </c>
      <c r="F72" s="7" t="inlineStr">
        <is>
          <t>2.45e9 / 8^7</t>
        </is>
      </c>
    </row>
    <row r="73">
      <c r="A73" s="7" t="inlineStr">
        <is>
          <t>cspc_candidates</t>
        </is>
      </c>
      <c r="B73" s="7" t="inlineStr">
        <is>
          <t>FKEY-CSPC-FOLD-8</t>
        </is>
      </c>
      <c r="C73" s="7" t="inlineStr">
        <is>
          <t>cspc_candidate</t>
        </is>
      </c>
      <c r="D73" s="7" t="inlineStr">
        <is>
          <t>DERIVED_ARITHMETIC</t>
        </is>
      </c>
      <c r="E73" s="7" t="inlineStr">
        <is>
          <t>PUBLIC</t>
        </is>
      </c>
      <c r="F73" s="7" t="inlineStr">
        <is>
          <t>2.45e9 / 8^8</t>
        </is>
      </c>
    </row>
    <row r="74">
      <c r="A74" s="7" t="inlineStr">
        <is>
          <t>cspc_candidates</t>
        </is>
      </c>
      <c r="B74" s="7" t="inlineStr">
        <is>
          <t>FKEY-CSPC-FOLD-9</t>
        </is>
      </c>
      <c r="C74" s="7" t="inlineStr">
        <is>
          <t>cspc_candidate</t>
        </is>
      </c>
      <c r="D74" s="7" t="inlineStr">
        <is>
          <t>DERIVED_ARITHMETIC</t>
        </is>
      </c>
      <c r="E74" s="7" t="inlineStr">
        <is>
          <t>PUBLIC</t>
        </is>
      </c>
      <c r="F74" s="7" t="inlineStr">
        <is>
          <t>2.45e9 / 8^9</t>
        </is>
      </c>
    </row>
    <row r="75">
      <c r="A75" s="7" t="inlineStr">
        <is>
          <t>cspc_candidates</t>
        </is>
      </c>
      <c r="B75" s="7" t="inlineStr">
        <is>
          <t>FKEY-CSPC-FOLD-10</t>
        </is>
      </c>
      <c r="C75" s="7" t="inlineStr">
        <is>
          <t>cspc_candidate</t>
        </is>
      </c>
      <c r="D75" s="7" t="inlineStr">
        <is>
          <t>DERIVED_ARITHMETIC</t>
        </is>
      </c>
      <c r="E75" s="7" t="inlineStr">
        <is>
          <t>PUBLIC</t>
        </is>
      </c>
      <c r="F75" s="7" t="inlineStr">
        <is>
          <t>2.45e9 / 8^10</t>
        </is>
      </c>
    </row>
    <row r="76">
      <c r="A76" s="7" t="inlineStr">
        <is>
          <t>cspc_candidates</t>
        </is>
      </c>
      <c r="B76" s="7" t="inlineStr">
        <is>
          <t>FKEY-CSPC-FOLD-11</t>
        </is>
      </c>
      <c r="C76" s="7" t="inlineStr">
        <is>
          <t>cspc_candidate</t>
        </is>
      </c>
      <c r="D76" s="7" t="inlineStr">
        <is>
          <t>DERIVED_ARITHMETIC</t>
        </is>
      </c>
      <c r="E76" s="7" t="inlineStr">
        <is>
          <t>PUBLIC</t>
        </is>
      </c>
      <c r="F76" s="7" t="inlineStr">
        <is>
          <t>2.45e9 / 8^11</t>
        </is>
      </c>
    </row>
    <row r="77">
      <c r="A77" s="7" t="inlineStr">
        <is>
          <t>cspc_candidates</t>
        </is>
      </c>
      <c r="B77" s="7" t="inlineStr">
        <is>
          <t>FKEY-CSPC-OPT</t>
        </is>
      </c>
      <c r="C77" s="7" t="inlineStr">
        <is>
          <t>cspc_candidate</t>
        </is>
      </c>
      <c r="D77" s="7" t="inlineStr">
        <is>
          <t>DERIVED_ARITHMETIC</t>
        </is>
      </c>
      <c r="E77" s="7" t="inlineStr">
        <is>
          <t>PUBLIC</t>
        </is>
      </c>
      <c r="F77" s="7" t="inlineStr">
        <is>
          <t>4096 * 2^37 = 2^49</t>
        </is>
      </c>
    </row>
    <row r="78">
      <c r="A78" s="7" t="inlineStr">
        <is>
          <t>cspc_candidates</t>
        </is>
      </c>
      <c r="B78" s="7" t="inlineStr">
        <is>
          <t>FKEY-CSPC-OPT-LAMBDA</t>
        </is>
      </c>
      <c r="C78" s="7" t="inlineStr">
        <is>
          <t>cspc_candidate</t>
        </is>
      </c>
      <c r="D78" s="7" t="inlineStr">
        <is>
          <t>DERIVED_ARITHMETIC</t>
        </is>
      </c>
      <c r="E78" s="7" t="inlineStr">
        <is>
          <t>PUBLIC</t>
        </is>
      </c>
      <c r="F78" s="7" t="inlineStr">
        <is>
          <t>c / (4096 * 2^37), c exact by SI definition</t>
        </is>
      </c>
    </row>
    <row r="79">
      <c r="A79" s="7" t="inlineStr">
        <is>
          <t>cspc_candidates</t>
        </is>
      </c>
      <c r="B79" s="7" t="inlineStr">
        <is>
          <t>FKEY-4096</t>
        </is>
      </c>
      <c r="C79" s="7" t="inlineStr">
        <is>
          <t>cspc_candidate</t>
        </is>
      </c>
      <c r="D79" s="7" t="inlineStr">
        <is>
          <t>DERIVED_ARITHMETIC</t>
        </is>
      </c>
      <c r="E79" s="7" t="inlineStr">
        <is>
          <t>PUBLIC</t>
        </is>
      </c>
      <c r="F79" s="7" t="inlineStr">
        <is>
          <t>source/derived master</t>
        </is>
      </c>
    </row>
    <row r="80">
      <c r="A80" s="7" t="inlineStr">
        <is>
          <t>cspc_candidates</t>
        </is>
      </c>
      <c r="B80" s="7" t="inlineStr">
        <is>
          <t>FKEY-20480</t>
        </is>
      </c>
      <c r="C80" s="7" t="inlineStr">
        <is>
          <t>cspc_candidate</t>
        </is>
      </c>
      <c r="D80" s="7" t="inlineStr">
        <is>
          <t>DERIVED_ARITHMETIC</t>
        </is>
      </c>
      <c r="E80" s="7" t="inlineStr">
        <is>
          <t>PUBLIC</t>
        </is>
      </c>
      <c r="F80" s="7" t="inlineStr">
        <is>
          <t>4096 * 5</t>
        </is>
      </c>
    </row>
    <row r="81">
      <c r="A81" s="7" t="inlineStr">
        <is>
          <t>cspc_candidates</t>
        </is>
      </c>
      <c r="B81" s="7" t="inlineStr">
        <is>
          <t>FKEY-32768</t>
        </is>
      </c>
      <c r="C81" s="7" t="inlineStr">
        <is>
          <t>cspc_candidate</t>
        </is>
      </c>
      <c r="D81" s="7" t="inlineStr">
        <is>
          <t>DERIVED_ARITHMETIC</t>
        </is>
      </c>
      <c r="E81" s="7" t="inlineStr">
        <is>
          <t>PUBLIC</t>
        </is>
      </c>
      <c r="F81" s="7" t="inlineStr">
        <is>
          <t>2^15</t>
        </is>
      </c>
    </row>
    <row r="82">
      <c r="A82" s="7" t="inlineStr">
        <is>
          <t>cspc_candidates</t>
        </is>
      </c>
      <c r="B82" s="7" t="inlineStr">
        <is>
          <t>FKEY-40960</t>
        </is>
      </c>
      <c r="C82" s="7" t="inlineStr">
        <is>
          <t>cspc_candidate</t>
        </is>
      </c>
      <c r="D82" s="7" t="inlineStr">
        <is>
          <t>DERIVED_ARITHMETIC</t>
        </is>
      </c>
      <c r="E82" s="7" t="inlineStr">
        <is>
          <t>PUBLIC</t>
        </is>
      </c>
      <c r="F82" s="7" t="inlineStr">
        <is>
          <t>20480 * 2</t>
        </is>
      </c>
    </row>
    <row r="83">
      <c r="A83" s="7" t="inlineStr">
        <is>
          <t>cspc_candidates</t>
        </is>
      </c>
      <c r="B83" s="7" t="inlineStr">
        <is>
          <t>FKEY-20_48</t>
        </is>
      </c>
      <c r="C83" s="7" t="inlineStr">
        <is>
          <t>cspc_candidate</t>
        </is>
      </c>
      <c r="D83" s="7" t="inlineStr">
        <is>
          <t>DERIVED_ARITHMETIC</t>
        </is>
      </c>
      <c r="E83" s="7" t="inlineStr">
        <is>
          <t>PUBLIC</t>
        </is>
      </c>
      <c r="F83" s="7" t="inlineStr">
        <is>
          <t>4096 / 200</t>
        </is>
      </c>
    </row>
    <row r="84">
      <c r="A84" s="7" t="inlineStr">
        <is>
          <t>cspc_candidates</t>
        </is>
      </c>
      <c r="B84" s="7" t="inlineStr">
        <is>
          <t>FKEY-40_96</t>
        </is>
      </c>
      <c r="C84" s="7" t="inlineStr">
        <is>
          <t>cspc_candidate</t>
        </is>
      </c>
      <c r="D84" s="7" t="inlineStr">
        <is>
          <t>DERIVED_ARITHMETIC</t>
        </is>
      </c>
      <c r="E84" s="7" t="inlineStr">
        <is>
          <t>PUBLIC</t>
        </is>
      </c>
      <c r="F84" s="7" t="inlineStr">
        <is>
          <t>4096 / 100</t>
        </is>
      </c>
    </row>
    <row r="85">
      <c r="A85" s="7" t="inlineStr">
        <is>
          <t>cspc_candidates</t>
        </is>
      </c>
      <c r="B85" s="7" t="inlineStr">
        <is>
          <t>FKEY-8HZ</t>
        </is>
      </c>
      <c r="C85" s="7" t="inlineStr">
        <is>
          <t>cspc_candidate</t>
        </is>
      </c>
      <c r="D85" s="7" t="inlineStr">
        <is>
          <t>DERIVED_ARITHMETIC</t>
        </is>
      </c>
      <c r="E85" s="7" t="inlineStr">
        <is>
          <t>PUBLIC</t>
        </is>
      </c>
      <c r="F85" s="7" t="inlineStr">
        <is>
          <t>historical/base</t>
        </is>
      </c>
    </row>
    <row r="86">
      <c r="A86" s="6" t="inlineStr">
        <is>
          <t>cspc_tetrahedron</t>
        </is>
      </c>
      <c r="B86" s="6" t="inlineStr">
        <is>
          <t>TETRA-AMBIGUITY</t>
        </is>
      </c>
      <c r="C86" s="6" t="inlineStr">
        <is>
          <t>ambiguity</t>
        </is>
      </c>
      <c r="D86" s="6" t="inlineStr">
        <is>
          <t>SOURCE_CLAIM</t>
        </is>
      </c>
      <c r="E86" s="6" t="inlineStr">
        <is>
          <t>PUBLIC</t>
        </is>
      </c>
      <c r="F86" s="6" t="inlineStr">
        <is>
          <t>cspc.tetra.ambiguity_report</t>
        </is>
      </c>
    </row>
    <row r="87">
      <c r="A87" s="7" t="inlineStr">
        <is>
          <t>cspc_tetrahedron</t>
        </is>
      </c>
      <c r="B87" s="7" t="inlineStr">
        <is>
          <t>TETRA-CUBIC-4x4x4</t>
        </is>
      </c>
      <c r="C87" s="7" t="inlineStr">
        <is>
          <t>complex</t>
        </is>
      </c>
      <c r="D87" s="7" t="inlineStr">
        <is>
          <t>DERIVED_ARITHMETIC</t>
        </is>
      </c>
      <c r="E87" s="7" t="inlineStr">
        <is>
          <t>PUBLIC</t>
        </is>
      </c>
      <c r="F87" s="7" t="inlineStr">
        <is>
          <t>cspc.tetra reading=READ-NODES-CUBIC</t>
        </is>
      </c>
    </row>
    <row r="88">
      <c r="A88" s="7" t="inlineStr">
        <is>
          <t>cspc_tetrahedron</t>
        </is>
      </c>
      <c r="B88" s="7" t="inlineStr">
        <is>
          <t>TETRA-HYPERCUBE-Q6</t>
        </is>
      </c>
      <c r="C88" s="7" t="inlineStr">
        <is>
          <t>complex</t>
        </is>
      </c>
      <c r="D88" s="7" t="inlineStr">
        <is>
          <t>DERIVED_ARITHMETIC</t>
        </is>
      </c>
      <c r="E88" s="7" t="inlineStr">
        <is>
          <t>PUBLIC</t>
        </is>
      </c>
      <c r="F88" s="7" t="inlineStr">
        <is>
          <t>cspc.tetra reading=READ-NODES-HYPERCUBE</t>
        </is>
      </c>
    </row>
    <row r="89">
      <c r="A89" s="7" t="inlineStr">
        <is>
          <t>cspc_tetrahedron</t>
        </is>
      </c>
      <c r="B89" s="7" t="inlineStr">
        <is>
          <t>TETRA-TETRA-SUBDIV</t>
        </is>
      </c>
      <c r="C89" s="7" t="inlineStr">
        <is>
          <t>complex</t>
        </is>
      </c>
      <c r="D89" s="7" t="inlineStr">
        <is>
          <t>DERIVED_ARITHMETIC</t>
        </is>
      </c>
      <c r="E89" s="7" t="inlineStr">
        <is>
          <t>PUBLIC</t>
        </is>
      </c>
      <c r="F89" s="7" t="inlineStr">
        <is>
          <t>cspc.tetra reading=READ-CELLS-SUBDIV</t>
        </is>
      </c>
    </row>
    <row r="90">
      <c r="A90" s="7" t="inlineStr">
        <is>
          <t>cspc_tetrahedron</t>
        </is>
      </c>
      <c r="B90" s="7" t="inlineStr">
        <is>
          <t>TETRA-FULLER-VE-64</t>
        </is>
      </c>
      <c r="C90" s="7" t="inlineStr">
        <is>
          <t>complex</t>
        </is>
      </c>
      <c r="D90" s="7" t="inlineStr">
        <is>
          <t>DERIVED_ARITHMETIC</t>
        </is>
      </c>
      <c r="E90" s="7" t="inlineStr">
        <is>
          <t>PUBLIC</t>
        </is>
      </c>
      <c r="F90" s="7" t="inlineStr">
        <is>
          <t>cspc.tetra reading=READ-CELLS-FULLER</t>
        </is>
      </c>
    </row>
    <row r="91">
      <c r="A91" s="8" t="inlineStr">
        <is>
          <t>cspc_spacetime</t>
        </is>
      </c>
      <c r="B91" s="8" t="inlineStr">
        <is>
          <t>ENERGY-AUDIT-100W-1H</t>
        </is>
      </c>
      <c r="C91" s="8" t="inlineStr">
        <is>
          <t>energy_audit</t>
        </is>
      </c>
      <c r="D91" s="8" t="inlineStr">
        <is>
          <t>ANALYTIC_MODEL</t>
        </is>
      </c>
      <c r="E91" s="8" t="inlineStr">
        <is>
          <t>PUBLIC</t>
        </is>
      </c>
      <c r="F91" s="8" t="inlineStr">
        <is>
          <t>cspc.spacetime.energy_audit</t>
        </is>
      </c>
    </row>
    <row r="92">
      <c r="A92" s="13" t="inlineStr">
        <is>
          <t>cspc_spacetime</t>
        </is>
      </c>
      <c r="B92" s="13" t="inlineStr">
        <is>
          <t>TRV-001</t>
        </is>
      </c>
      <c r="C92" s="13" t="inlineStr">
        <is>
          <t>travel_claim</t>
        </is>
      </c>
      <c r="D92" s="13" t="inlineStr">
        <is>
          <t>UNSUPPORTED</t>
        </is>
      </c>
      <c r="E92" s="13" t="inlineStr">
        <is>
          <t>PUBLIC</t>
        </is>
      </c>
      <c r="F92" s="13" t="inlineStr">
        <is>
          <t>cspc.spacetime.TRAVEL_CLAIMS</t>
        </is>
      </c>
    </row>
    <row r="93">
      <c r="A93" s="13" t="inlineStr">
        <is>
          <t>cspc_spacetime</t>
        </is>
      </c>
      <c r="B93" s="13" t="inlineStr">
        <is>
          <t>TRV-002</t>
        </is>
      </c>
      <c r="C93" s="13" t="inlineStr">
        <is>
          <t>travel_claim</t>
        </is>
      </c>
      <c r="D93" s="13" t="inlineStr">
        <is>
          <t>UNSUPPORTED</t>
        </is>
      </c>
      <c r="E93" s="13" t="inlineStr">
        <is>
          <t>PUBLIC</t>
        </is>
      </c>
      <c r="F93" s="13" t="inlineStr">
        <is>
          <t>cspc.spacetime.TRAVEL_CLAIMS</t>
        </is>
      </c>
    </row>
    <row r="94">
      <c r="A94" s="13" t="inlineStr">
        <is>
          <t>cspc_spacetime</t>
        </is>
      </c>
      <c r="B94" s="13" t="inlineStr">
        <is>
          <t>TRV-003</t>
        </is>
      </c>
      <c r="C94" s="13" t="inlineStr">
        <is>
          <t>travel_claim</t>
        </is>
      </c>
      <c r="D94" s="13" t="inlineStr">
        <is>
          <t>UNSUPPORTED</t>
        </is>
      </c>
      <c r="E94" s="13" t="inlineStr">
        <is>
          <t>PUBLIC</t>
        </is>
      </c>
      <c r="F94" s="13" t="inlineStr">
        <is>
          <t>cspc.spacetime.TRAVEL_CLAIMS</t>
        </is>
      </c>
    </row>
    <row r="95">
      <c r="A95" s="13" t="inlineStr">
        <is>
          <t>cspc_spacetime</t>
        </is>
      </c>
      <c r="B95" s="13" t="inlineStr">
        <is>
          <t>TRV-004</t>
        </is>
      </c>
      <c r="C95" s="13" t="inlineStr">
        <is>
          <t>travel_claim</t>
        </is>
      </c>
      <c r="D95" s="13" t="inlineStr">
        <is>
          <t>UNSUPPORTED</t>
        </is>
      </c>
      <c r="E95" s="13" t="inlineStr">
        <is>
          <t>PUBLIC</t>
        </is>
      </c>
      <c r="F95" s="13" t="inlineStr">
        <is>
          <t>cspc.spacetime.TRAVEL_CLAIMS</t>
        </is>
      </c>
    </row>
    <row r="96">
      <c r="A96" s="13" t="inlineStr">
        <is>
          <t>cspc_spacetime</t>
        </is>
      </c>
      <c r="B96" s="13" t="inlineStr">
        <is>
          <t>TRV-005</t>
        </is>
      </c>
      <c r="C96" s="13" t="inlineStr">
        <is>
          <t>travel_claim</t>
        </is>
      </c>
      <c r="D96" s="13" t="inlineStr">
        <is>
          <t>UNSUPPORTED</t>
        </is>
      </c>
      <c r="E96" s="13" t="inlineStr">
        <is>
          <t>PUBLIC</t>
        </is>
      </c>
      <c r="F96" s="13" t="inlineStr">
        <is>
          <t>cspc.spacetime.TRAVEL_CLAIMS</t>
        </is>
      </c>
    </row>
    <row r="97">
      <c r="A97" s="8" t="inlineStr">
        <is>
          <t>cspc_experiments</t>
        </is>
      </c>
      <c r="B97" s="8" t="inlineStr">
        <is>
          <t>CSPC-EXP-FOLD-18</t>
        </is>
      </c>
      <c r="C97" s="8" t="inlineStr">
        <is>
          <t>preregistration</t>
        </is>
      </c>
      <c r="D97" s="8" t="inlineStr">
        <is>
          <t>ANALYTIC_MODEL</t>
        </is>
      </c>
      <c r="E97" s="8" t="inlineStr">
        <is>
          <t>PUBLIC</t>
        </is>
      </c>
      <c r="F97" s="8" t="inlineStr">
        <is>
          <t>cspc.experiments</t>
        </is>
      </c>
    </row>
    <row r="98">
      <c r="A98" s="8" t="inlineStr">
        <is>
          <t>cspc_experiments</t>
        </is>
      </c>
      <c r="B98" s="8" t="inlineStr">
        <is>
          <t>CSPC-EXP-OPT-532</t>
        </is>
      </c>
      <c r="C98" s="8" t="inlineStr">
        <is>
          <t>preregistration</t>
        </is>
      </c>
      <c r="D98" s="8" t="inlineStr">
        <is>
          <t>ANALYTIC_MODEL</t>
        </is>
      </c>
      <c r="E98" s="8" t="inlineStr">
        <is>
          <t>PUBLIC</t>
        </is>
      </c>
      <c r="F98" s="8" t="inlineStr">
        <is>
          <t>cspc.experiments</t>
        </is>
      </c>
    </row>
    <row r="99">
      <c r="A99" s="7" t="inlineStr">
        <is>
          <t>pmwr_recovery</t>
        </is>
      </c>
      <c r="B99" s="7" t="inlineStr">
        <is>
          <t>PMWR-CLOSURE-ALIAS</t>
        </is>
      </c>
      <c r="C99" s="7" t="inlineStr">
        <is>
          <t>ambiguity</t>
        </is>
      </c>
      <c r="D99" s="7" t="inlineStr">
        <is>
          <t>DERIVED_ARITHMETIC</t>
        </is>
      </c>
      <c r="E99" s="7" t="inlineStr">
        <is>
          <t>PUBLIC</t>
        </is>
      </c>
      <c r="F99" s="7" t="inlineStr">
        <is>
          <t>pmwr.recovery.closure_delay_ambiguity</t>
        </is>
      </c>
    </row>
    <row r="100">
      <c r="A100" s="7" t="inlineStr">
        <is>
          <t>pmwr_recovery</t>
        </is>
      </c>
      <c r="B100" s="7" t="inlineStr">
        <is>
          <t>PMWR-DUAL-LATTICE</t>
        </is>
      </c>
      <c r="C100" s="7" t="inlineStr">
        <is>
          <t>probe_design</t>
        </is>
      </c>
      <c r="D100" s="7" t="inlineStr">
        <is>
          <t>DERIVED_ARITHMETIC</t>
        </is>
      </c>
      <c r="E100" s="7" t="inlineStr">
        <is>
          <t>PUBLIC</t>
        </is>
      </c>
      <c r="F100" s="7" t="inlineStr">
        <is>
          <t>pmwr.recovery.dual_lattice_probe</t>
        </is>
      </c>
    </row>
    <row r="101">
      <c r="A101" s="8" t="inlineStr">
        <is>
          <t>pmwr_recovery</t>
        </is>
      </c>
      <c r="B101" s="8" t="inlineStr">
        <is>
          <t>PMWR-TWO-GEODESIC</t>
        </is>
      </c>
      <c r="C101" s="8" t="inlineStr">
        <is>
          <t>worldline_channel</t>
        </is>
      </c>
      <c r="D101" s="8" t="inlineStr">
        <is>
          <t>ANALYTIC_MODEL</t>
        </is>
      </c>
      <c r="E101" s="8" t="inlineStr">
        <is>
          <t>PUBLIC</t>
        </is>
      </c>
      <c r="F101" s="8" t="inlineStr">
        <is>
          <t>pmwr.worldline.two_geodesic_case</t>
        </is>
      </c>
    </row>
    <row r="102">
      <c r="A102" s="7" t="inlineStr">
        <is>
          <t>pmwr_recovery</t>
        </is>
      </c>
      <c r="B102" s="7" t="inlineStr">
        <is>
          <t>PMWR-NOVELTY</t>
        </is>
      </c>
      <c r="C102" s="7" t="inlineStr">
        <is>
          <t>novelty_boundary</t>
        </is>
      </c>
      <c r="D102" s="7" t="inlineStr">
        <is>
          <t>DERIVED_ARITHMETIC</t>
        </is>
      </c>
      <c r="E102" s="7" t="inlineStr">
        <is>
          <t>PUBLIC</t>
        </is>
      </c>
      <c r="F102" s="7" t="inlineStr">
        <is>
          <t>pmwr.ingest.NOVELTY_BOUNDARY</t>
        </is>
      </c>
    </row>
    <row r="103">
      <c r="A103" s="16" t="inlineStr">
        <is>
          <t>pmwr_crystal</t>
        </is>
      </c>
      <c r="B103" s="16" t="inlineStr">
        <is>
          <t>ANGLE-360_over_7</t>
        </is>
      </c>
      <c r="C103" s="16" t="inlineStr">
        <is>
          <t>geometry_candidate</t>
        </is>
      </c>
      <c r="D103" s="16" t="inlineStr">
        <is>
          <t>GEOMETRY_IDENTITY</t>
        </is>
      </c>
      <c r="E103" s="16" t="inlineStr">
        <is>
          <t>PUBLIC</t>
        </is>
      </c>
      <c r="F103" s="16" t="inlineStr">
        <is>
          <t>pmwr.crystal.pyramid_ratio_audit</t>
        </is>
      </c>
    </row>
    <row r="104">
      <c r="A104" s="16" t="inlineStr">
        <is>
          <t>pmwr_crystal</t>
        </is>
      </c>
      <c r="B104" s="16" t="inlineStr">
        <is>
          <t>ANGLE-51_843</t>
        </is>
      </c>
      <c r="C104" s="16" t="inlineStr">
        <is>
          <t>geometry_candidate</t>
        </is>
      </c>
      <c r="D104" s="16" t="inlineStr">
        <is>
          <t>GEOMETRY_IDENTITY</t>
        </is>
      </c>
      <c r="E104" s="16" t="inlineStr">
        <is>
          <t>PUBLIC</t>
        </is>
      </c>
      <c r="F104" s="16" t="inlineStr">
        <is>
          <t>pmwr.crystal.pyramid_ratio_audit</t>
        </is>
      </c>
    </row>
    <row r="105">
      <c r="A105" s="16" t="inlineStr">
        <is>
          <t>pmwr_crystal</t>
        </is>
      </c>
      <c r="B105" s="16" t="inlineStr">
        <is>
          <t>ANGLE-51_51_51_DMS</t>
        </is>
      </c>
      <c r="C105" s="16" t="inlineStr">
        <is>
          <t>geometry_candidate</t>
        </is>
      </c>
      <c r="D105" s="16" t="inlineStr">
        <is>
          <t>GEOMETRY_IDENTITY</t>
        </is>
      </c>
      <c r="E105" s="16" t="inlineStr">
        <is>
          <t>PUBLIC</t>
        </is>
      </c>
      <c r="F105" s="16" t="inlineStr">
        <is>
          <t>pmwr.crystal.pyramid_ratio_audit</t>
        </is>
      </c>
    </row>
    <row r="106">
      <c r="A106" s="16" t="inlineStr">
        <is>
          <t>pmwr_crystal</t>
        </is>
      </c>
      <c r="B106" s="16" t="inlineStr">
        <is>
          <t>ANGLE-Great_Pyramid_nominal</t>
        </is>
      </c>
      <c r="C106" s="16" t="inlineStr">
        <is>
          <t>geometry_candidate</t>
        </is>
      </c>
      <c r="D106" s="16" t="inlineStr">
        <is>
          <t>GEOMETRY_IDENTITY</t>
        </is>
      </c>
      <c r="E106" s="16" t="inlineStr">
        <is>
          <t>PUBLIC</t>
        </is>
      </c>
      <c r="F106" s="16" t="inlineStr">
        <is>
          <t>pmwr.crystal.pyramid_ratio_audit</t>
        </is>
      </c>
    </row>
    <row r="107">
      <c r="A107" s="16" t="inlineStr">
        <is>
          <t>pmwr_crystal</t>
        </is>
      </c>
      <c r="B107" s="16" t="inlineStr">
        <is>
          <t>ANGLE-rounded_52</t>
        </is>
      </c>
      <c r="C107" s="16" t="inlineStr">
        <is>
          <t>geometry_candidate</t>
        </is>
      </c>
      <c r="D107" s="16" t="inlineStr">
        <is>
          <t>GEOMETRY_IDENTITY</t>
        </is>
      </c>
      <c r="E107" s="16" t="inlineStr">
        <is>
          <t>PUBLIC</t>
        </is>
      </c>
      <c r="F107" s="16" t="inlineStr">
        <is>
          <t>pmwr.crystal.pyramid_ratio_audit</t>
        </is>
      </c>
    </row>
    <row r="108">
      <c r="A108" s="16" t="inlineStr">
        <is>
          <t>pmwr_crystal</t>
        </is>
      </c>
      <c r="B108" s="16" t="inlineStr">
        <is>
          <t>ANGLE-emitter_58</t>
        </is>
      </c>
      <c r="C108" s="16" t="inlineStr">
        <is>
          <t>geometry_candidate</t>
        </is>
      </c>
      <c r="D108" s="16" t="inlineStr">
        <is>
          <t>GEOMETRY_IDENTITY</t>
        </is>
      </c>
      <c r="E108" s="16" t="inlineStr">
        <is>
          <t>PUBLIC</t>
        </is>
      </c>
      <c r="F108" s="16" t="inlineStr">
        <is>
          <t>pmwr.crystal.pyramid_ratio_audit</t>
        </is>
      </c>
    </row>
    <row r="109">
      <c r="A109" s="16" t="inlineStr">
        <is>
          <t>pmwr_crystal</t>
        </is>
      </c>
      <c r="B109" s="16" t="inlineStr">
        <is>
          <t>ANGLE-emitter_60</t>
        </is>
      </c>
      <c r="C109" s="16" t="inlineStr">
        <is>
          <t>geometry_candidate</t>
        </is>
      </c>
      <c r="D109" s="16" t="inlineStr">
        <is>
          <t>GEOMETRY_IDENTITY</t>
        </is>
      </c>
      <c r="E109" s="16" t="inlineStr">
        <is>
          <t>PUBLIC</t>
        </is>
      </c>
      <c r="F109" s="16" t="inlineStr">
        <is>
          <t>pmwr.crystal.pyramid_ratio_audit</t>
        </is>
      </c>
    </row>
    <row r="110">
      <c r="A110" s="6" t="inlineStr">
        <is>
          <t>pmwr_phryll</t>
        </is>
      </c>
      <c r="B110" s="6" t="inlineStr">
        <is>
          <t>PHRYLL-OPERATIONALIZATION</t>
        </is>
      </c>
      <c r="C110" s="6" t="inlineStr">
        <is>
          <t>latent_definition</t>
        </is>
      </c>
      <c r="D110" s="6" t="inlineStr">
        <is>
          <t>SOURCE_CLAIM</t>
        </is>
      </c>
      <c r="E110" s="6" t="inlineStr">
        <is>
          <t>PUBLIC</t>
        </is>
      </c>
      <c r="F110" s="6" t="inlineStr">
        <is>
          <t>pack core/06; pmwr.crystal.PROMOTION_GATES</t>
        </is>
      </c>
    </row>
    <row r="111">
      <c r="A111" s="7" t="inlineStr">
        <is>
          <t>pmwr_phryll</t>
        </is>
      </c>
      <c r="B111" s="7" t="inlineStr">
        <is>
          <t>FIREWALL-PERFECT_ABSOLUTE_PHASE</t>
        </is>
      </c>
      <c r="C111" s="7" t="inlineStr">
        <is>
          <t>firewall</t>
        </is>
      </c>
      <c r="D111" s="7" t="inlineStr">
        <is>
          <t>DERIVED_ARITHMETIC</t>
        </is>
      </c>
      <c r="E111" s="7" t="inlineStr">
        <is>
          <t>PUBLIC</t>
        </is>
      </c>
      <c r="F111" s="7" t="inlineStr">
        <is>
          <t>pmwr.FIREWALLS</t>
        </is>
      </c>
    </row>
    <row r="112">
      <c r="A112" s="7" t="inlineStr">
        <is>
          <t>pmwr_phryll</t>
        </is>
      </c>
      <c r="B112" s="7" t="inlineStr">
        <is>
          <t>FIREWALL-ENVIRONMENTAL_IMMUNITY</t>
        </is>
      </c>
      <c r="C112" s="7" t="inlineStr">
        <is>
          <t>firewall</t>
        </is>
      </c>
      <c r="D112" s="7" t="inlineStr">
        <is>
          <t>DERIVED_ARITHMETIC</t>
        </is>
      </c>
      <c r="E112" s="7" t="inlineStr">
        <is>
          <t>PUBLIC</t>
        </is>
      </c>
      <c r="F112" s="7" t="inlineStr">
        <is>
          <t>pmwr.FIREWALLS</t>
        </is>
      </c>
    </row>
    <row r="113">
      <c r="A113" s="7" t="inlineStr">
        <is>
          <t>pmwr_phryll</t>
        </is>
      </c>
      <c r="B113" s="7" t="inlineStr">
        <is>
          <t>FIREWALL-ONE_RESIDUAL_ONE_PATH</t>
        </is>
      </c>
      <c r="C113" s="7" t="inlineStr">
        <is>
          <t>firewall</t>
        </is>
      </c>
      <c r="D113" s="7" t="inlineStr">
        <is>
          <t>DERIVED_ARITHMETIC</t>
        </is>
      </c>
      <c r="E113" s="7" t="inlineStr">
        <is>
          <t>PUBLIC</t>
        </is>
      </c>
      <c r="F113" s="7" t="inlineStr">
        <is>
          <t>pmwr.FIREWALLS</t>
        </is>
      </c>
    </row>
    <row r="114">
      <c r="A114" s="7" t="inlineStr">
        <is>
          <t>pmwr_phryll</t>
        </is>
      </c>
      <c r="B114" s="7" t="inlineStr">
        <is>
          <t>FIREWALL-CLOSURE_REMOVES_AMBIGUITY</t>
        </is>
      </c>
      <c r="C114" s="7" t="inlineStr">
        <is>
          <t>firewall</t>
        </is>
      </c>
      <c r="D114" s="7" t="inlineStr">
        <is>
          <t>DERIVED_ARITHMETIC</t>
        </is>
      </c>
      <c r="E114" s="7" t="inlineStr">
        <is>
          <t>PUBLIC</t>
        </is>
      </c>
      <c r="F114" s="7" t="inlineStr">
        <is>
          <t>pmwr.FIREWALLS</t>
        </is>
      </c>
    </row>
    <row r="115">
      <c r="A115" s="7" t="inlineStr">
        <is>
          <t>pmwr_phryll</t>
        </is>
      </c>
      <c r="B115" s="7" t="inlineStr">
        <is>
          <t>FIREWALL-4096_PRIVILEGED</t>
        </is>
      </c>
      <c r="C115" s="7" t="inlineStr">
        <is>
          <t>firewall</t>
        </is>
      </c>
      <c r="D115" s="7" t="inlineStr">
        <is>
          <t>DERIVED_ARITHMETIC</t>
        </is>
      </c>
      <c r="E115" s="7" t="inlineStr">
        <is>
          <t>PUBLIC</t>
        </is>
      </c>
      <c r="F115" s="7" t="inlineStr">
        <is>
          <t>pmwr.FIREWALLS</t>
        </is>
      </c>
    </row>
    <row r="116">
      <c r="A116" s="7" t="inlineStr">
        <is>
          <t>pmwr_phryll</t>
        </is>
      </c>
      <c r="B116" s="7" t="inlineStr">
        <is>
          <t>FIREWALL-PYRAMID_PROVES_MECHANISM</t>
        </is>
      </c>
      <c r="C116" s="7" t="inlineStr">
        <is>
          <t>firewall</t>
        </is>
      </c>
      <c r="D116" s="7" t="inlineStr">
        <is>
          <t>DERIVED_ARITHMETIC</t>
        </is>
      </c>
      <c r="E116" s="7" t="inlineStr">
        <is>
          <t>PUBLIC</t>
        </is>
      </c>
      <c r="F116" s="7" t="inlineStr">
        <is>
          <t>pmwr.FIREWALLS</t>
        </is>
      </c>
    </row>
    <row r="117">
      <c r="A117" s="7" t="inlineStr">
        <is>
          <t>pmwr_phryll</t>
        </is>
      </c>
      <c r="B117" s="7" t="inlineStr">
        <is>
          <t>FIREWALL-ANGLE_PROVES_DIRECTIONALITY</t>
        </is>
      </c>
      <c r="C117" s="7" t="inlineStr">
        <is>
          <t>firewall</t>
        </is>
      </c>
      <c r="D117" s="7" t="inlineStr">
        <is>
          <t>DERIVED_ARITHMETIC</t>
        </is>
      </c>
      <c r="E117" s="7" t="inlineStr">
        <is>
          <t>PUBLIC</t>
        </is>
      </c>
      <c r="F117" s="7" t="inlineStr">
        <is>
          <t>pmwr.FIREWALLS</t>
        </is>
      </c>
    </row>
    <row r="118">
      <c r="A118" s="7" t="inlineStr">
        <is>
          <t>pmwr_phryll</t>
        </is>
      </c>
      <c r="B118" s="7" t="inlineStr">
        <is>
          <t>FIREWALL-SENSOR_CHANGE_IS_PHRYLL</t>
        </is>
      </c>
      <c r="C118" s="7" t="inlineStr">
        <is>
          <t>firewall</t>
        </is>
      </c>
      <c r="D118" s="7" t="inlineStr">
        <is>
          <t>DERIVED_ARITHMETIC</t>
        </is>
      </c>
      <c r="E118" s="7" t="inlineStr">
        <is>
          <t>PUBLIC</t>
        </is>
      </c>
      <c r="F118" s="7" t="inlineStr">
        <is>
          <t>pmwr.FIREWALLS</t>
        </is>
      </c>
    </row>
    <row r="119">
      <c r="A119" s="7" t="inlineStr">
        <is>
          <t>pmwr_phryll</t>
        </is>
      </c>
      <c r="B119" s="7" t="inlineStr">
        <is>
          <t>FIREWALL-DEVICE_MIRACLES</t>
        </is>
      </c>
      <c r="C119" s="7" t="inlineStr">
        <is>
          <t>firewall</t>
        </is>
      </c>
      <c r="D119" s="7" t="inlineStr">
        <is>
          <t>DERIVED_ARITHMETIC</t>
        </is>
      </c>
      <c r="E119" s="7" t="inlineStr">
        <is>
          <t>PUBLIC</t>
        </is>
      </c>
      <c r="F119" s="7" t="inlineStr">
        <is>
          <t>pmwr.FIREWALLS</t>
        </is>
      </c>
    </row>
    <row r="120">
      <c r="A120" s="7" t="inlineStr">
        <is>
          <t>pmwr_phryll</t>
        </is>
      </c>
      <c r="B120" s="7" t="inlineStr">
        <is>
          <t>FIREWALL-REORDER_IS_REVERSAL</t>
        </is>
      </c>
      <c r="C120" s="7" t="inlineStr">
        <is>
          <t>firewall</t>
        </is>
      </c>
      <c r="D120" s="7" t="inlineStr">
        <is>
          <t>DERIVED_ARITHMETIC</t>
        </is>
      </c>
      <c r="E120" s="7" t="inlineStr">
        <is>
          <t>PUBLIC</t>
        </is>
      </c>
      <c r="F120" s="7" t="inlineStr">
        <is>
          <t>pmwr.FIREWALLS</t>
        </is>
      </c>
    </row>
    <row r="121">
      <c r="A121" s="8" t="inlineStr">
        <is>
          <t>pmwr_phryll</t>
        </is>
      </c>
      <c r="B121" s="8" t="inlineStr">
        <is>
          <t>PMWR-BENCH-DIRECTIONAL</t>
        </is>
      </c>
      <c r="C121" s="8" t="inlineStr">
        <is>
          <t>bench_preregistration</t>
        </is>
      </c>
      <c r="D121" s="8" t="inlineStr">
        <is>
          <t>ANALYTIC_MODEL</t>
        </is>
      </c>
      <c r="E121" s="8" t="inlineStr">
        <is>
          <t>PUBLIC</t>
        </is>
      </c>
      <c r="F121" s="8" t="inlineStr">
        <is>
          <t>pmwr.benches</t>
        </is>
      </c>
    </row>
    <row r="122">
      <c r="A122" s="8" t="inlineStr">
        <is>
          <t>pmwr_phryll</t>
        </is>
      </c>
      <c r="B122" s="8" t="inlineStr">
        <is>
          <t>PMWR-BENCH-SELFOSC</t>
        </is>
      </c>
      <c r="C122" s="8" t="inlineStr">
        <is>
          <t>bench_preregistration</t>
        </is>
      </c>
      <c r="D122" s="8" t="inlineStr">
        <is>
          <t>ANALYTIC_MODEL</t>
        </is>
      </c>
      <c r="E122" s="8" t="inlineStr">
        <is>
          <t>PUBLIC</t>
        </is>
      </c>
      <c r="F122" s="8" t="inlineStr">
        <is>
          <t>pmwr.benches</t>
        </is>
      </c>
    </row>
    <row r="123">
      <c r="A123" s="8" t="inlineStr">
        <is>
          <t>pmwr_phryll</t>
        </is>
      </c>
      <c r="B123" s="8" t="inlineStr">
        <is>
          <t>PMWR-BENCH-SHAM</t>
        </is>
      </c>
      <c r="C123" s="8" t="inlineStr">
        <is>
          <t>bench_preregistration</t>
        </is>
      </c>
      <c r="D123" s="8" t="inlineStr">
        <is>
          <t>ANALYTIC_MODEL</t>
        </is>
      </c>
      <c r="E123" s="8" t="inlineStr">
        <is>
          <t>PUBLIC</t>
        </is>
      </c>
      <c r="F123" s="8" t="inlineStr">
        <is>
          <t>pmwr.benches</t>
        </is>
      </c>
    </row>
    <row r="124">
      <c r="A124" s="7" t="inlineStr">
        <is>
          <t>r3_root_space</t>
        </is>
      </c>
      <c r="B124" s="7" t="inlineStr">
        <is>
          <t>R3-ZERO-RESIDUAL-ALIASES</t>
        </is>
      </c>
      <c r="C124" s="7" t="inlineStr">
        <is>
          <t>alias_audit</t>
        </is>
      </c>
      <c r="D124" s="7" t="inlineStr">
        <is>
          <t>DERIVED_ARITHMETIC</t>
        </is>
      </c>
      <c r="E124" s="7" t="inlineStr">
        <is>
          <t>PUBLIC</t>
        </is>
      </c>
      <c r="F124" s="7" t="inlineStr">
        <is>
          <t>r3.root_space.zero_residual_aliases</t>
        </is>
      </c>
    </row>
    <row r="125">
      <c r="A125" s="7" t="inlineStr">
        <is>
          <t>r3_root_space</t>
        </is>
      </c>
      <c r="B125" s="7" t="inlineStr">
        <is>
          <t>R3-DUAL-LATTICE-ROOT</t>
        </is>
      </c>
      <c r="C125" s="7" t="inlineStr">
        <is>
          <t>disambiguation</t>
        </is>
      </c>
      <c r="D125" s="7" t="inlineStr">
        <is>
          <t>DERIVED_ARITHMETIC</t>
        </is>
      </c>
      <c r="E125" s="7" t="inlineStr">
        <is>
          <t>PUBLIC</t>
        </is>
      </c>
      <c r="F125" s="7" t="inlineStr">
        <is>
          <t>r3.root_space.dual_lattice_root_search</t>
        </is>
      </c>
    </row>
    <row r="126">
      <c r="A126" s="7" t="inlineStr">
        <is>
          <t>r3_root_space</t>
        </is>
      </c>
      <c r="B126" s="7" t="inlineStr">
        <is>
          <t>ROOT-CLASS-SYNTHETIC_HIERARCHY_ROOT</t>
        </is>
      </c>
      <c r="C126" s="7" t="inlineStr">
        <is>
          <t>root_class</t>
        </is>
      </c>
      <c r="D126" s="7" t="inlineStr">
        <is>
          <t>DERIVED_ARITHMETIC</t>
        </is>
      </c>
      <c r="E126" s="7" t="inlineStr">
        <is>
          <t>PUBLIC</t>
        </is>
      </c>
      <c r="F126" s="7" t="inlineStr">
        <is>
          <t>pack core/16</t>
        </is>
      </c>
    </row>
    <row r="127">
      <c r="A127" s="7" t="inlineStr">
        <is>
          <t>r3_root_space</t>
        </is>
      </c>
      <c r="B127" s="7" t="inlineStr">
        <is>
          <t>ROOT-CLASS-PHASE_AUTHORITY_ROOT</t>
        </is>
      </c>
      <c r="C127" s="7" t="inlineStr">
        <is>
          <t>root_class</t>
        </is>
      </c>
      <c r="D127" s="7" t="inlineStr">
        <is>
          <t>DERIVED_ARITHMETIC</t>
        </is>
      </c>
      <c r="E127" s="7" t="inlineStr">
        <is>
          <t>PUBLIC</t>
        </is>
      </c>
      <c r="F127" s="7" t="inlineStr">
        <is>
          <t>pack core/16</t>
        </is>
      </c>
    </row>
    <row r="128">
      <c r="A128" s="7" t="inlineStr">
        <is>
          <t>r3_root_space</t>
        </is>
      </c>
      <c r="B128" s="7" t="inlineStr">
        <is>
          <t>ROOT-CLASS-CALIBRATED_INSTRUMENT_ROOT</t>
        </is>
      </c>
      <c r="C128" s="7" t="inlineStr">
        <is>
          <t>root_class</t>
        </is>
      </c>
      <c r="D128" s="7" t="inlineStr">
        <is>
          <t>DERIVED_ARITHMETIC</t>
        </is>
      </c>
      <c r="E128" s="7" t="inlineStr">
        <is>
          <t>PUBLIC</t>
        </is>
      </c>
      <c r="F128" s="7" t="inlineStr">
        <is>
          <t>pack core/16</t>
        </is>
      </c>
    </row>
    <row r="129">
      <c r="A129" s="7" t="inlineStr">
        <is>
          <t>r3_root_space</t>
        </is>
      </c>
      <c r="B129" s="7" t="inlineStr">
        <is>
          <t>ROOT-CLASS-RECONSTRUCTED_SOURCE_STATE_ROOT</t>
        </is>
      </c>
      <c r="C129" s="7" t="inlineStr">
        <is>
          <t>root_class</t>
        </is>
      </c>
      <c r="D129" s="7" t="inlineStr">
        <is>
          <t>DERIVED_ARITHMETIC</t>
        </is>
      </c>
      <c r="E129" s="7" t="inlineStr">
        <is>
          <t>PUBLIC</t>
        </is>
      </c>
      <c r="F129" s="7" t="inlineStr">
        <is>
          <t>pack core/16</t>
        </is>
      </c>
    </row>
    <row r="130">
      <c r="A130" s="7" t="inlineStr">
        <is>
          <t>r3_root_space</t>
        </is>
      </c>
      <c r="B130" s="7" t="inlineStr">
        <is>
          <t>ROOT-CLASS-PHYSICAL_REFERENCE_NETWORK_ROOT</t>
        </is>
      </c>
      <c r="C130" s="7" t="inlineStr">
        <is>
          <t>root_class</t>
        </is>
      </c>
      <c r="D130" s="7" t="inlineStr">
        <is>
          <t>DERIVED_ARITHMETIC</t>
        </is>
      </c>
      <c r="E130" s="7" t="inlineStr">
        <is>
          <t>PUBLIC</t>
        </is>
      </c>
      <c r="F130" s="7" t="inlineStr">
        <is>
          <t>pack core/16</t>
        </is>
      </c>
    </row>
    <row r="131">
      <c r="A131" s="7" t="inlineStr">
        <is>
          <t>r3_root_space</t>
        </is>
      </c>
      <c r="B131" s="7" t="inlineStr">
        <is>
          <t>ROOT-CLASS-GAUGE_FIXED_CANONICAL_ROOT</t>
        </is>
      </c>
      <c r="C131" s="7" t="inlineStr">
        <is>
          <t>root_class</t>
        </is>
      </c>
      <c r="D131" s="7" t="inlineStr">
        <is>
          <t>DERIVED_ARITHMETIC</t>
        </is>
      </c>
      <c r="E131" s="7" t="inlineStr">
        <is>
          <t>PUBLIC</t>
        </is>
      </c>
      <c r="F131" s="7" t="inlineStr">
        <is>
          <t>pack core/16</t>
        </is>
      </c>
    </row>
    <row r="132">
      <c r="A132" s="7" t="inlineStr">
        <is>
          <t>r3_root_space</t>
        </is>
      </c>
      <c r="B132" s="7" t="inlineStr">
        <is>
          <t>COLLAPSE-HIERARCHY_ROOT_IS_VACUUM_ORIGIN</t>
        </is>
      </c>
      <c r="C132" s="7" t="inlineStr">
        <is>
          <t>forbidden_collapse</t>
        </is>
      </c>
      <c r="D132" s="7" t="inlineStr">
        <is>
          <t>DERIVED_ARITHMETIC</t>
        </is>
      </c>
      <c r="E132" s="7" t="inlineStr">
        <is>
          <t>PUBLIC</t>
        </is>
      </c>
      <c r="F132" s="7" t="inlineStr">
        <is>
          <t>r3.FORBIDDEN_COLLAPSES</t>
        </is>
      </c>
    </row>
    <row r="133">
      <c r="A133" s="7" t="inlineStr">
        <is>
          <t>r3_root_space</t>
        </is>
      </c>
      <c r="B133" s="7" t="inlineStr">
        <is>
          <t>COLLAPSE-EIGENMODE_IS_SPACETIME_EIGENSTATE</t>
        </is>
      </c>
      <c r="C133" s="7" t="inlineStr">
        <is>
          <t>forbidden_collapse</t>
        </is>
      </c>
      <c r="D133" s="7" t="inlineStr">
        <is>
          <t>DERIVED_ARITHMETIC</t>
        </is>
      </c>
      <c r="E133" s="7" t="inlineStr">
        <is>
          <t>PUBLIC</t>
        </is>
      </c>
      <c r="F133" s="7" t="inlineStr">
        <is>
          <t>r3.FORBIDDEN_COLLAPSES</t>
        </is>
      </c>
    </row>
    <row r="134">
      <c r="A134" s="7" t="inlineStr">
        <is>
          <t>r3_root_space</t>
        </is>
      </c>
      <c r="B134" s="7" t="inlineStr">
        <is>
          <t>COLLAPSE-PHASE_ZERO_IS_ABSOLUTE_PHASE</t>
        </is>
      </c>
      <c r="C134" s="7" t="inlineStr">
        <is>
          <t>forbidden_collapse</t>
        </is>
      </c>
      <c r="D134" s="7" t="inlineStr">
        <is>
          <t>DERIVED_ARITHMETIC</t>
        </is>
      </c>
      <c r="E134" s="7" t="inlineStr">
        <is>
          <t>PUBLIC</t>
        </is>
      </c>
      <c r="F134" s="7" t="inlineStr">
        <is>
          <t>r3.FORBIDDEN_COLLAPSES</t>
        </is>
      </c>
    </row>
    <row r="135">
      <c r="A135" s="7" t="inlineStr">
        <is>
          <t>r3_root_space</t>
        </is>
      </c>
      <c r="B135" s="7" t="inlineStr">
        <is>
          <t>COLLAPSE-CANONICAL_REPRESENTATIVE_IS_UNIQUE_ONTOLOGY</t>
        </is>
      </c>
      <c r="C135" s="7" t="inlineStr">
        <is>
          <t>forbidden_collapse</t>
        </is>
      </c>
      <c r="D135" s="7" t="inlineStr">
        <is>
          <t>DERIVED_ARITHMETIC</t>
        </is>
      </c>
      <c r="E135" s="7" t="inlineStr">
        <is>
          <t>PUBLIC</t>
        </is>
      </c>
      <c r="F135" s="7" t="inlineStr">
        <is>
          <t>r3.FORBIDDEN_COLLAPSES</t>
        </is>
      </c>
    </row>
    <row r="136">
      <c r="A136" s="7" t="inlineStr">
        <is>
          <t>r3_root_space</t>
        </is>
      </c>
      <c r="B136" s="7" t="inlineStr">
        <is>
          <t>COLLAPSE-REFERENCE_NETWORK_IS_PREFERRED_FRAME</t>
        </is>
      </c>
      <c r="C136" s="7" t="inlineStr">
        <is>
          <t>forbidden_collapse</t>
        </is>
      </c>
      <c r="D136" s="7" t="inlineStr">
        <is>
          <t>DERIVED_ARITHMETIC</t>
        </is>
      </c>
      <c r="E136" s="7" t="inlineStr">
        <is>
          <t>PUBLIC</t>
        </is>
      </c>
      <c r="F136" s="7" t="inlineStr">
        <is>
          <t>r3.FORBIDDEN_COLLAPSES</t>
        </is>
      </c>
    </row>
    <row r="137">
      <c r="A137" s="7" t="inlineStr">
        <is>
          <t>r3_root_space</t>
        </is>
      </c>
      <c r="B137" s="7" t="inlineStr">
        <is>
          <t>COLLAPSE-SOURCE_ESTIMATE_IS_HISTORICAL_TRUTH</t>
        </is>
      </c>
      <c r="C137" s="7" t="inlineStr">
        <is>
          <t>forbidden_collapse</t>
        </is>
      </c>
      <c r="D137" s="7" t="inlineStr">
        <is>
          <t>DERIVED_ARITHMETIC</t>
        </is>
      </c>
      <c r="E137" s="7" t="inlineStr">
        <is>
          <t>PUBLIC</t>
        </is>
      </c>
      <c r="F137" s="7" t="inlineStr">
        <is>
          <t>r3.FORBIDDEN_COLLAPSES</t>
        </is>
      </c>
    </row>
    <row r="138">
      <c r="A138" s="8" t="inlineStr">
        <is>
          <t>r3_lanes</t>
        </is>
      </c>
      <c r="B138" s="8" t="inlineStr">
        <is>
          <t>R3-METRIC-BUDGET</t>
        </is>
      </c>
      <c r="C138" s="8" t="inlineStr">
        <is>
          <t>metric_source_audit</t>
        </is>
      </c>
      <c r="D138" s="8" t="inlineStr">
        <is>
          <t>ANALYTIC_MODEL</t>
        </is>
      </c>
      <c r="E138" s="8" t="inlineStr">
        <is>
          <t>PUBLIC</t>
        </is>
      </c>
      <c r="F138" s="8" t="inlineStr">
        <is>
          <t>r3.spin_torsion.metric_actuation_verdict</t>
        </is>
      </c>
    </row>
    <row r="139">
      <c r="A139" s="8" t="inlineStr">
        <is>
          <t>r3_lanes</t>
        </is>
      </c>
      <c r="B139" s="8" t="inlineStr">
        <is>
          <t>R3-EC-TORSION-SCALE</t>
        </is>
      </c>
      <c r="C139" s="8" t="inlineStr">
        <is>
          <t>spin_torsion_audit</t>
        </is>
      </c>
      <c r="D139" s="8" t="inlineStr">
        <is>
          <t>ANALYTIC_MODEL</t>
        </is>
      </c>
      <c r="E139" s="8" t="inlineStr">
        <is>
          <t>PUBLIC</t>
        </is>
      </c>
      <c r="F139" s="8" t="inlineStr">
        <is>
          <t>r3.spin_torsion.einstein_cartan_torsion</t>
        </is>
      </c>
    </row>
    <row r="140">
      <c r="A140" s="7" t="inlineStr">
        <is>
          <t>r3_lanes</t>
        </is>
      </c>
      <c r="B140" s="7" t="inlineStr">
        <is>
          <t>R3-HIERARCHY</t>
        </is>
      </c>
      <c r="C140" s="7" t="inlineStr">
        <is>
          <t>address_hierarchy</t>
        </is>
      </c>
      <c r="D140" s="7" t="inlineStr">
        <is>
          <t>DERIVED_ARITHMETIC</t>
        </is>
      </c>
      <c r="E140" s="7" t="inlineStr">
        <is>
          <t>PUBLIC</t>
        </is>
      </c>
      <c r="F140" s="7" t="inlineStr">
        <is>
          <t>r3.address.level_count</t>
        </is>
      </c>
    </row>
    <row r="141">
      <c r="A141" s="7" t="inlineStr">
        <is>
          <t>r3_lanes</t>
        </is>
      </c>
      <c r="B141" s="7" t="inlineStr">
        <is>
          <t>R3-ATLAS-STATUS</t>
        </is>
      </c>
      <c r="C141" s="7" t="inlineStr">
        <is>
          <t>atlas_status</t>
        </is>
      </c>
      <c r="D141" s="7" t="inlineStr">
        <is>
          <t>DERIVED_ARITHMETIC</t>
        </is>
      </c>
      <c r="E141" s="7" t="inlineStr">
        <is>
          <t>PUBLIC</t>
        </is>
      </c>
      <c r="F141" s="7" t="inlineStr">
        <is>
          <t>r3.atlas</t>
        </is>
      </c>
    </row>
    <row r="142">
      <c r="A142" s="7" t="inlineStr">
        <is>
          <t>r4_codec</t>
        </is>
      </c>
      <c r="B142" s="7" t="inlineStr">
        <is>
          <t>R4-RADIX-BRIDGE</t>
        </is>
      </c>
      <c r="C142" s="7" t="inlineStr">
        <is>
          <t>radix_identity</t>
        </is>
      </c>
      <c r="D142" s="7" t="inlineStr">
        <is>
          <t>DERIVED_ARITHMETIC</t>
        </is>
      </c>
      <c r="E142" s="7" t="inlineStr">
        <is>
          <t>PUBLIC</t>
        </is>
      </c>
      <c r="F142" s="7" t="inlineStr">
        <is>
          <t>r4.radix.exhaustive_roundtrip</t>
        </is>
      </c>
    </row>
    <row r="143">
      <c r="A143" s="7" t="inlineStr">
        <is>
          <t>r4_codec</t>
        </is>
      </c>
      <c r="B143" s="7" t="inlineStr">
        <is>
          <t>R4-TETRA-CODEBOOK</t>
        </is>
      </c>
      <c r="C143" s="7" t="inlineStr">
        <is>
          <t>codebook_geometry</t>
        </is>
      </c>
      <c r="D143" s="7" t="inlineStr">
        <is>
          <t>DERIVED_ARITHMETIC</t>
        </is>
      </c>
      <c r="E143" s="7" t="inlineStr">
        <is>
          <t>PUBLIC</t>
        </is>
      </c>
      <c r="F143" s="7" t="inlineStr">
        <is>
          <t>r4.quantizer.codebook_geometry</t>
        </is>
      </c>
    </row>
    <row r="144">
      <c r="A144" s="9" t="inlineStr">
        <is>
          <t>r4_codec</t>
        </is>
      </c>
      <c r="B144" s="9" t="inlineStr">
        <is>
          <t>R4-BENCH-SMOOTH_FIELD</t>
        </is>
      </c>
      <c r="C144" s="9" t="inlineStr">
        <is>
          <t>rate_distortion</t>
        </is>
      </c>
      <c r="D144" s="9" t="inlineStr">
        <is>
          <t>NUMERICAL_SIMULATION</t>
        </is>
      </c>
      <c r="E144" s="9" t="inlineStr">
        <is>
          <t>PUBLIC</t>
        </is>
      </c>
      <c r="F144" s="9" t="inlineStr">
        <is>
          <t>r4.benchmark.full_campaign</t>
        </is>
      </c>
    </row>
    <row r="145">
      <c r="A145" s="9" t="inlineStr">
        <is>
          <t>r4_codec</t>
        </is>
      </c>
      <c r="B145" s="9" t="inlineStr">
        <is>
          <t>R4-BENCH-PIECEWISE_CONSTANT</t>
        </is>
      </c>
      <c r="C145" s="9" t="inlineStr">
        <is>
          <t>rate_distortion</t>
        </is>
      </c>
      <c r="D145" s="9" t="inlineStr">
        <is>
          <t>NUMERICAL_SIMULATION</t>
        </is>
      </c>
      <c r="E145" s="9" t="inlineStr">
        <is>
          <t>PUBLIC</t>
        </is>
      </c>
      <c r="F145" s="9" t="inlineStr">
        <is>
          <t>r4.benchmark.full_campaign</t>
        </is>
      </c>
    </row>
    <row r="146">
      <c r="A146" s="9" t="inlineStr">
        <is>
          <t>r4_codec</t>
        </is>
      </c>
      <c r="B146" s="9" t="inlineStr">
        <is>
          <t>R4-BENCH-SPARSE_EVENTS</t>
        </is>
      </c>
      <c r="C146" s="9" t="inlineStr">
        <is>
          <t>rate_distortion</t>
        </is>
      </c>
      <c r="D146" s="9" t="inlineStr">
        <is>
          <t>NUMERICAL_SIMULATION</t>
        </is>
      </c>
      <c r="E146" s="9" t="inlineStr">
        <is>
          <t>PUBLIC</t>
        </is>
      </c>
      <c r="F146" s="9" t="inlineStr">
        <is>
          <t>r4.benchmark.full_campaign</t>
        </is>
      </c>
    </row>
    <row r="147">
      <c r="A147" s="9" t="inlineStr">
        <is>
          <t>r4_codec</t>
        </is>
      </c>
      <c r="B147" s="9" t="inlineStr">
        <is>
          <t>R4-BENCH-PHASE_RAMP</t>
        </is>
      </c>
      <c r="C147" s="9" t="inlineStr">
        <is>
          <t>rate_distortion</t>
        </is>
      </c>
      <c r="D147" s="9" t="inlineStr">
        <is>
          <t>NUMERICAL_SIMULATION</t>
        </is>
      </c>
      <c r="E147" s="9" t="inlineStr">
        <is>
          <t>PUBLIC</t>
        </is>
      </c>
      <c r="F147" s="9" t="inlineStr">
        <is>
          <t>r4.benchmark.full_campaign</t>
        </is>
      </c>
    </row>
    <row r="148">
      <c r="A148" s="9" t="inlineStr">
        <is>
          <t>r4_codec</t>
        </is>
      </c>
      <c r="B148" s="9" t="inlineStr">
        <is>
          <t>R4-BENCH-RANDOM_UNIFORM</t>
        </is>
      </c>
      <c r="C148" s="9" t="inlineStr">
        <is>
          <t>rate_distortion</t>
        </is>
      </c>
      <c r="D148" s="9" t="inlineStr">
        <is>
          <t>NUMERICAL_SIMULATION</t>
        </is>
      </c>
      <c r="E148" s="9" t="inlineStr">
        <is>
          <t>PUBLIC</t>
        </is>
      </c>
      <c r="F148" s="9" t="inlineStr">
        <is>
          <t>r4.benchmark.full_campaign</t>
        </is>
      </c>
    </row>
    <row r="149">
      <c r="A149" s="9" t="inlineStr">
        <is>
          <t>r4_codec</t>
        </is>
      </c>
      <c r="B149" s="9" t="inlineStr">
        <is>
          <t>R4-BENCH-RANDOM_GAUSSIAN</t>
        </is>
      </c>
      <c r="C149" s="9" t="inlineStr">
        <is>
          <t>rate_distortion</t>
        </is>
      </c>
      <c r="D149" s="9" t="inlineStr">
        <is>
          <t>NUMERICAL_SIMULATION</t>
        </is>
      </c>
      <c r="E149" s="9" t="inlineStr">
        <is>
          <t>PUBLIC</t>
        </is>
      </c>
      <c r="F149" s="9" t="inlineStr">
        <is>
          <t>r4.benchmark.full_campaign</t>
        </is>
      </c>
    </row>
    <row r="150">
      <c r="A150" s="9" t="inlineStr">
        <is>
          <t>r4_codec</t>
        </is>
      </c>
      <c r="B150" s="9" t="inlineStr">
        <is>
          <t>R4-NEGATIVE-CONTROL-GATE</t>
        </is>
      </c>
      <c r="C150" s="9" t="inlineStr">
        <is>
          <t>campaign_gate</t>
        </is>
      </c>
      <c r="D150" s="9" t="inlineStr">
        <is>
          <t>NUMERICAL_SIMULATION</t>
        </is>
      </c>
      <c r="E150" s="9" t="inlineStr">
        <is>
          <t>PUBLIC</t>
        </is>
      </c>
      <c r="F150" s="9" t="inlineStr">
        <is>
          <t>r4.benchmark.full_campaign</t>
        </is>
      </c>
    </row>
    <row r="151">
      <c r="A151" s="8" t="inlineStr">
        <is>
          <t>r4_platforms</t>
        </is>
      </c>
      <c r="B151" s="8" t="inlineStr">
        <is>
          <t>SIC_V_SI_SPIN_3_2</t>
        </is>
      </c>
      <c r="C151" s="8" t="inlineStr">
        <is>
          <t>four_state_platform</t>
        </is>
      </c>
      <c r="D151" s="8" t="inlineStr">
        <is>
          <t>ANALYTIC_MODEL</t>
        </is>
      </c>
      <c r="E151" s="8" t="inlineStr">
        <is>
          <t>PUBLIC</t>
        </is>
      </c>
      <c r="F151" s="8" t="inlineStr">
        <is>
          <t>r4.platforms.REGISTRY</t>
        </is>
      </c>
    </row>
    <row r="152">
      <c r="A152" s="8" t="inlineStr">
        <is>
          <t>r4_platforms</t>
        </is>
      </c>
      <c r="B152" s="8" t="inlineStr">
        <is>
          <t>DIAMOND_NV_PLUS_N15</t>
        </is>
      </c>
      <c r="C152" s="8" t="inlineStr">
        <is>
          <t>four_state_platform</t>
        </is>
      </c>
      <c r="D152" s="8" t="inlineStr">
        <is>
          <t>ANALYTIC_MODEL</t>
        </is>
      </c>
      <c r="E152" s="8" t="inlineStr">
        <is>
          <t>PUBLIC</t>
        </is>
      </c>
      <c r="F152" s="8" t="inlineStr">
        <is>
          <t>r4.platforms.REGISTRY</t>
        </is>
      </c>
    </row>
    <row r="153">
      <c r="A153" s="8" t="inlineStr">
        <is>
          <t>r4_platforms</t>
        </is>
      </c>
      <c r="B153" s="8" t="inlineStr">
        <is>
          <t>CLASSICAL_FOUR_DOMAIN</t>
        </is>
      </c>
      <c r="C153" s="8" t="inlineStr">
        <is>
          <t>four_state_platform</t>
        </is>
      </c>
      <c r="D153" s="8" t="inlineStr">
        <is>
          <t>ANALYTIC_MODEL</t>
        </is>
      </c>
      <c r="E153" s="8" t="inlineStr">
        <is>
          <t>PUBLIC</t>
        </is>
      </c>
      <c r="F153" s="8" t="inlineStr">
        <is>
          <t>r4.platforms.REGISTRY</t>
        </is>
      </c>
    </row>
    <row r="154">
      <c r="A154" s="8" t="inlineStr">
        <is>
          <t>r4_platforms</t>
        </is>
      </c>
      <c r="B154" s="8" t="inlineStr">
        <is>
          <t>SPIN_HALF_TETRAHEDRAL</t>
        </is>
      </c>
      <c r="C154" s="8" t="inlineStr">
        <is>
          <t>four_state_platform</t>
        </is>
      </c>
      <c r="D154" s="8" t="inlineStr">
        <is>
          <t>ANALYTIC_MODEL</t>
        </is>
      </c>
      <c r="E154" s="8" t="inlineStr">
        <is>
          <t>PUBLIC</t>
        </is>
      </c>
      <c r="F154" s="8" t="inlineStr">
        <is>
          <t>r4.platforms.REGISTRY</t>
        </is>
      </c>
    </row>
    <row r="155">
      <c r="A155" s="8" t="inlineStr">
        <is>
          <t>r4_platforms</t>
        </is>
      </c>
      <c r="B155" s="8" t="inlineStr">
        <is>
          <t>QUARTZ_DEFECT</t>
        </is>
      </c>
      <c r="C155" s="8" t="inlineStr">
        <is>
          <t>four_state_platform</t>
        </is>
      </c>
      <c r="D155" s="8" t="inlineStr">
        <is>
          <t>ANALYTIC_MODEL</t>
        </is>
      </c>
      <c r="E155" s="8" t="inlineStr">
        <is>
          <t>PUBLIC</t>
        </is>
      </c>
      <c r="F155" s="8" t="inlineStr">
        <is>
          <t>r4.platforms.REGISTRY</t>
        </is>
      </c>
    </row>
    <row r="156">
      <c r="A156" s="8" t="inlineStr">
        <is>
          <t>r4_platforms</t>
        </is>
      </c>
      <c r="B156" s="8" t="inlineStr">
        <is>
          <t>R4-PLATFORM-DECISION</t>
        </is>
      </c>
      <c r="C156" s="8" t="inlineStr">
        <is>
          <t>decision_matrix</t>
        </is>
      </c>
      <c r="D156" s="8" t="inlineStr">
        <is>
          <t>ANALYTIC_MODEL</t>
        </is>
      </c>
      <c r="E156" s="8" t="inlineStr">
        <is>
          <t>PUBLIC</t>
        </is>
      </c>
      <c r="F156" s="8" t="inlineStr">
        <is>
          <t>r4.platforms.decision_matrix</t>
        </is>
      </c>
    </row>
    <row r="157">
      <c r="A157" s="8" t="inlineStr">
        <is>
          <t>r4_platforms</t>
        </is>
      </c>
      <c r="B157" s="8" t="inlineStr">
        <is>
          <t>R4-BENCH-READINESS</t>
        </is>
      </c>
      <c r="C157" s="8" t="inlineStr">
        <is>
          <t>honest_stop</t>
        </is>
      </c>
      <c r="D157" s="8" t="inlineStr">
        <is>
          <t>ANALYTIC_MODEL</t>
        </is>
      </c>
      <c r="E157" s="8" t="inlineStr">
        <is>
          <t>PUBLIC</t>
        </is>
      </c>
      <c r="F157" s="8" t="inlineStr">
        <is>
          <t>r4.bench.bench_readiness</t>
        </is>
      </c>
    </row>
    <row r="158">
      <c r="A158" s="13" t="inlineStr">
        <is>
          <t>r4_platforms</t>
        </is>
      </c>
      <c r="B158" s="13" t="inlineStr">
        <is>
          <t>R4-EXCLUDED-00</t>
        </is>
      </c>
      <c r="C158" s="13" t="inlineStr">
        <is>
          <t>excluded_claim</t>
        </is>
      </c>
      <c r="D158" s="13" t="inlineStr">
        <is>
          <t>UNSUPPORTED</t>
        </is>
      </c>
      <c r="E158" s="13" t="inlineStr">
        <is>
          <t>PUBLIC</t>
        </is>
      </c>
      <c r="F158" s="13" t="inlineStr">
        <is>
          <t>r4.EXCLUDED_CLAIMS</t>
        </is>
      </c>
    </row>
    <row r="159">
      <c r="A159" s="13" t="inlineStr">
        <is>
          <t>r4_platforms</t>
        </is>
      </c>
      <c r="B159" s="13" t="inlineStr">
        <is>
          <t>R4-EXCLUDED-01</t>
        </is>
      </c>
      <c r="C159" s="13" t="inlineStr">
        <is>
          <t>excluded_claim</t>
        </is>
      </c>
      <c r="D159" s="13" t="inlineStr">
        <is>
          <t>UNSUPPORTED</t>
        </is>
      </c>
      <c r="E159" s="13" t="inlineStr">
        <is>
          <t>PUBLIC</t>
        </is>
      </c>
      <c r="F159" s="13" t="inlineStr">
        <is>
          <t>r4.EXCLUDED_CLAIMS</t>
        </is>
      </c>
    </row>
    <row r="160">
      <c r="A160" s="13" t="inlineStr">
        <is>
          <t>r4_platforms</t>
        </is>
      </c>
      <c r="B160" s="13" t="inlineStr">
        <is>
          <t>R4-EXCLUDED-02</t>
        </is>
      </c>
      <c r="C160" s="13" t="inlineStr">
        <is>
          <t>excluded_claim</t>
        </is>
      </c>
      <c r="D160" s="13" t="inlineStr">
        <is>
          <t>UNSUPPORTED</t>
        </is>
      </c>
      <c r="E160" s="13" t="inlineStr">
        <is>
          <t>PUBLIC</t>
        </is>
      </c>
      <c r="F160" s="13" t="inlineStr">
        <is>
          <t>r4.EXCLUDED_CLAIMS</t>
        </is>
      </c>
    </row>
    <row r="161">
      <c r="A161" s="13" t="inlineStr">
        <is>
          <t>r4_platforms</t>
        </is>
      </c>
      <c r="B161" s="13" t="inlineStr">
        <is>
          <t>R4-EXCLUDED-03</t>
        </is>
      </c>
      <c r="C161" s="13" t="inlineStr">
        <is>
          <t>excluded_claim</t>
        </is>
      </c>
      <c r="D161" s="13" t="inlineStr">
        <is>
          <t>UNSUPPORTED</t>
        </is>
      </c>
      <c r="E161" s="13" t="inlineStr">
        <is>
          <t>PUBLIC</t>
        </is>
      </c>
      <c r="F161" s="13" t="inlineStr">
        <is>
          <t>r4.EXCLUDED_CLAIMS</t>
        </is>
      </c>
    </row>
    <row r="162">
      <c r="A162" s="13" t="inlineStr">
        <is>
          <t>r4_platforms</t>
        </is>
      </c>
      <c r="B162" s="13" t="inlineStr">
        <is>
          <t>R4-EXCLUDED-04</t>
        </is>
      </c>
      <c r="C162" s="13" t="inlineStr">
        <is>
          <t>excluded_claim</t>
        </is>
      </c>
      <c r="D162" s="13" t="inlineStr">
        <is>
          <t>UNSUPPORTED</t>
        </is>
      </c>
      <c r="E162" s="13" t="inlineStr">
        <is>
          <t>PUBLIC</t>
        </is>
      </c>
      <c r="F162" s="13" t="inlineStr">
        <is>
          <t>r4.EXCLUDED_CLAIMS</t>
        </is>
      </c>
    </row>
    <row r="163">
      <c r="A163" s="13" t="inlineStr">
        <is>
          <t>r4_platforms</t>
        </is>
      </c>
      <c r="B163" s="13" t="inlineStr">
        <is>
          <t>R4-EXCLUDED-05</t>
        </is>
      </c>
      <c r="C163" s="13" t="inlineStr">
        <is>
          <t>excluded_claim</t>
        </is>
      </c>
      <c r="D163" s="13" t="inlineStr">
        <is>
          <t>UNSUPPORTED</t>
        </is>
      </c>
      <c r="E163" s="13" t="inlineStr">
        <is>
          <t>PUBLIC</t>
        </is>
      </c>
      <c r="F163" s="13" t="inlineStr">
        <is>
          <t>r4.EXCLUDED_CLAIMS</t>
        </is>
      </c>
    </row>
    <row r="164">
      <c r="A164" s="13" t="inlineStr">
        <is>
          <t>r4_platforms</t>
        </is>
      </c>
      <c r="B164" s="13" t="inlineStr">
        <is>
          <t>R4-EXCLUDED-06</t>
        </is>
      </c>
      <c r="C164" s="13" t="inlineStr">
        <is>
          <t>excluded_claim</t>
        </is>
      </c>
      <c r="D164" s="13" t="inlineStr">
        <is>
          <t>UNSUPPORTED</t>
        </is>
      </c>
      <c r="E164" s="13" t="inlineStr">
        <is>
          <t>PUBLIC</t>
        </is>
      </c>
      <c r="F164" s="13" t="inlineStr">
        <is>
          <t>r4.EXCLUDED_CLAIMS</t>
        </is>
      </c>
    </row>
    <row r="165">
      <c r="A165" s="13" t="inlineStr">
        <is>
          <t>r4_platforms</t>
        </is>
      </c>
      <c r="B165" s="13" t="inlineStr">
        <is>
          <t>R4-EXCLUDED-07</t>
        </is>
      </c>
      <c r="C165" s="13" t="inlineStr">
        <is>
          <t>excluded_claim</t>
        </is>
      </c>
      <c r="D165" s="13" t="inlineStr">
        <is>
          <t>UNSUPPORTED</t>
        </is>
      </c>
      <c r="E165" s="13" t="inlineStr">
        <is>
          <t>PUBLIC</t>
        </is>
      </c>
      <c r="F165" s="13" t="inlineStr">
        <is>
          <t>r4.EXCLUDED_CLAIMS</t>
        </is>
      </c>
    </row>
    <row r="166">
      <c r="A166" s="13" t="inlineStr">
        <is>
          <t>r4_platforms</t>
        </is>
      </c>
      <c r="B166" s="13" t="inlineStr">
        <is>
          <t>R4-EXCLUDED-08</t>
        </is>
      </c>
      <c r="C166" s="13" t="inlineStr">
        <is>
          <t>excluded_claim</t>
        </is>
      </c>
      <c r="D166" s="13" t="inlineStr">
        <is>
          <t>UNSUPPORTED</t>
        </is>
      </c>
      <c r="E166" s="13" t="inlineStr">
        <is>
          <t>PUBLIC</t>
        </is>
      </c>
      <c r="F166" s="13" t="inlineStr">
        <is>
          <t>r4.EXCLUDED_CLAIMS</t>
        </is>
      </c>
    </row>
    <row r="167">
      <c r="A167" s="6" t="inlineStr">
        <is>
          <t>r6_claims</t>
        </is>
      </c>
      <c r="B167" s="6" t="inlineStr">
        <is>
          <t>R6-C-001</t>
        </is>
      </c>
      <c r="C167" s="6" t="inlineStr">
        <is>
          <t>source_claim</t>
        </is>
      </c>
      <c r="D167" s="6" t="inlineStr">
        <is>
          <t>SOURCE_CLAIM</t>
        </is>
      </c>
      <c r="E167" s="6" t="inlineStr">
        <is>
          <t>PUBLIC</t>
        </is>
      </c>
      <c r="F167" s="6" t="inlineStr">
        <is>
          <t>JH corpus amendment 2026-07-18</t>
        </is>
      </c>
    </row>
    <row r="168">
      <c r="A168" s="6" t="inlineStr">
        <is>
          <t>r6_claims</t>
        </is>
      </c>
      <c r="B168" s="6" t="inlineStr">
        <is>
          <t>R6-C-002</t>
        </is>
      </c>
      <c r="C168" s="6" t="inlineStr">
        <is>
          <t>source_claim</t>
        </is>
      </c>
      <c r="D168" s="6" t="inlineStr">
        <is>
          <t>SOURCE_CLAIM</t>
        </is>
      </c>
      <c r="E168" s="6" t="inlineStr">
        <is>
          <t>PUBLIC</t>
        </is>
      </c>
      <c r="F168" s="6" t="inlineStr">
        <is>
          <t>JH corpus amendment 2026-07-18</t>
        </is>
      </c>
    </row>
    <row r="169">
      <c r="A169" s="6" t="inlineStr">
        <is>
          <t>r6_claims</t>
        </is>
      </c>
      <c r="B169" s="6" t="inlineStr">
        <is>
          <t>R6-C-003</t>
        </is>
      </c>
      <c r="C169" s="6" t="inlineStr">
        <is>
          <t>source_claim</t>
        </is>
      </c>
      <c r="D169" s="6" t="inlineStr">
        <is>
          <t>SOURCE_CLAIM</t>
        </is>
      </c>
      <c r="E169" s="6" t="inlineStr">
        <is>
          <t>PUBLIC</t>
        </is>
      </c>
      <c r="F169" s="6" t="inlineStr">
        <is>
          <t>JH corpus amendment 2026-07-18</t>
        </is>
      </c>
    </row>
    <row r="170">
      <c r="A170" s="6" t="inlineStr">
        <is>
          <t>r6_claims</t>
        </is>
      </c>
      <c r="B170" s="6" t="inlineStr">
        <is>
          <t>R6-C-004</t>
        </is>
      </c>
      <c r="C170" s="6" t="inlineStr">
        <is>
          <t>source_claim</t>
        </is>
      </c>
      <c r="D170" s="6" t="inlineStr">
        <is>
          <t>SOURCE_CLAIM</t>
        </is>
      </c>
      <c r="E170" s="6" t="inlineStr">
        <is>
          <t>PUBLIC</t>
        </is>
      </c>
      <c r="F170" s="6" t="inlineStr">
        <is>
          <t>JH corpus amendment 2026-07-18</t>
        </is>
      </c>
    </row>
    <row r="171">
      <c r="A171" s="6" t="inlineStr">
        <is>
          <t>r6_claims</t>
        </is>
      </c>
      <c r="B171" s="6" t="inlineStr">
        <is>
          <t>R6-C-005</t>
        </is>
      </c>
      <c r="C171" s="6" t="inlineStr">
        <is>
          <t>source_claim</t>
        </is>
      </c>
      <c r="D171" s="6" t="inlineStr">
        <is>
          <t>SOURCE_CLAIM</t>
        </is>
      </c>
      <c r="E171" s="6" t="inlineStr">
        <is>
          <t>PUBLIC</t>
        </is>
      </c>
      <c r="F171" s="6" t="inlineStr">
        <is>
          <t>JH corpus amendment 2026-07-18</t>
        </is>
      </c>
    </row>
    <row r="172">
      <c r="A172" s="6" t="inlineStr">
        <is>
          <t>r6_claims</t>
        </is>
      </c>
      <c r="B172" s="6" t="inlineStr">
        <is>
          <t>R6-C-006</t>
        </is>
      </c>
      <c r="C172" s="6" t="inlineStr">
        <is>
          <t>source_claim</t>
        </is>
      </c>
      <c r="D172" s="6" t="inlineStr">
        <is>
          <t>SOURCE_CLAIM</t>
        </is>
      </c>
      <c r="E172" s="6" t="inlineStr">
        <is>
          <t>PUBLIC</t>
        </is>
      </c>
      <c r="F172" s="6" t="inlineStr">
        <is>
          <t>JH corpus amendment 2026-07-18</t>
        </is>
      </c>
    </row>
    <row r="173">
      <c r="A173" s="6" t="inlineStr">
        <is>
          <t>r6_claims</t>
        </is>
      </c>
      <c r="B173" s="6" t="inlineStr">
        <is>
          <t>R6-C-007</t>
        </is>
      </c>
      <c r="C173" s="6" t="inlineStr">
        <is>
          <t>source_claim</t>
        </is>
      </c>
      <c r="D173" s="6" t="inlineStr">
        <is>
          <t>SOURCE_CLAIM</t>
        </is>
      </c>
      <c r="E173" s="6" t="inlineStr">
        <is>
          <t>PUBLIC</t>
        </is>
      </c>
      <c r="F173" s="6" t="inlineStr">
        <is>
          <t>JH corpus amendment 2026-07-18</t>
        </is>
      </c>
    </row>
    <row r="174">
      <c r="A174" s="6" t="inlineStr">
        <is>
          <t>r6_claims</t>
        </is>
      </c>
      <c r="B174" s="6" t="inlineStr">
        <is>
          <t>R6-C-008</t>
        </is>
      </c>
      <c r="C174" s="6" t="inlineStr">
        <is>
          <t>source_claim</t>
        </is>
      </c>
      <c r="D174" s="6" t="inlineStr">
        <is>
          <t>SOURCE_CLAIM</t>
        </is>
      </c>
      <c r="E174" s="6" t="inlineStr">
        <is>
          <t>PUBLIC</t>
        </is>
      </c>
      <c r="F174" s="6" t="inlineStr">
        <is>
          <t>JH corpus amendment 2026-07-18</t>
        </is>
      </c>
    </row>
    <row r="175">
      <c r="A175" s="6" t="inlineStr">
        <is>
          <t>r6_claims</t>
        </is>
      </c>
      <c r="B175" s="6" t="inlineStr">
        <is>
          <t>R6-C-101</t>
        </is>
      </c>
      <c r="C175" s="6" t="inlineStr">
        <is>
          <t>source_claim</t>
        </is>
      </c>
      <c r="D175" s="6" t="inlineStr">
        <is>
          <t>SOURCE_CLAIM</t>
        </is>
      </c>
      <c r="E175" s="6" t="inlineStr">
        <is>
          <t>PUBLIC</t>
        </is>
      </c>
      <c r="F175" s="6" t="inlineStr">
        <is>
          <t>metric witness amendment 2026-07-18</t>
        </is>
      </c>
    </row>
    <row r="176">
      <c r="A176" s="6" t="inlineStr">
        <is>
          <t>r6_claims</t>
        </is>
      </c>
      <c r="B176" s="6" t="inlineStr">
        <is>
          <t>R6-C-102</t>
        </is>
      </c>
      <c r="C176" s="6" t="inlineStr">
        <is>
          <t>source_claim</t>
        </is>
      </c>
      <c r="D176" s="6" t="inlineStr">
        <is>
          <t>SOURCE_CLAIM</t>
        </is>
      </c>
      <c r="E176" s="6" t="inlineStr">
        <is>
          <t>PUBLIC</t>
        </is>
      </c>
      <c r="F176" s="6" t="inlineStr">
        <is>
          <t>metric witness amendment 2026-07-18</t>
        </is>
      </c>
    </row>
    <row r="177">
      <c r="A177" s="6" t="inlineStr">
        <is>
          <t>r6_claims</t>
        </is>
      </c>
      <c r="B177" s="6" t="inlineStr">
        <is>
          <t>R6-C-103</t>
        </is>
      </c>
      <c r="C177" s="6" t="inlineStr">
        <is>
          <t>source_claim</t>
        </is>
      </c>
      <c r="D177" s="6" t="inlineStr">
        <is>
          <t>SOURCE_CLAIM</t>
        </is>
      </c>
      <c r="E177" s="6" t="inlineStr">
        <is>
          <t>PUBLIC</t>
        </is>
      </c>
      <c r="F177" s="6" t="inlineStr">
        <is>
          <t>Gemini value-claim correction matrix</t>
        </is>
      </c>
    </row>
    <row r="178">
      <c r="A178" s="6" t="inlineStr">
        <is>
          <t>r6_claims</t>
        </is>
      </c>
      <c r="B178" s="6" t="inlineStr">
        <is>
          <t>R6-C-104</t>
        </is>
      </c>
      <c r="C178" s="6" t="inlineStr">
        <is>
          <t>source_claim</t>
        </is>
      </c>
      <c r="D178" s="6" t="inlineStr">
        <is>
          <t>SOURCE_CLAIM</t>
        </is>
      </c>
      <c r="E178" s="6" t="inlineStr">
        <is>
          <t>PUBLIC</t>
        </is>
      </c>
      <c r="F178" s="6" t="inlineStr">
        <is>
          <t>Gemini value-claim correction matrix</t>
        </is>
      </c>
    </row>
    <row r="179">
      <c r="A179" s="6" t="inlineStr">
        <is>
          <t>r6_claims</t>
        </is>
      </c>
      <c r="B179" s="6" t="inlineStr">
        <is>
          <t>R6-C-105</t>
        </is>
      </c>
      <c r="C179" s="6" t="inlineStr">
        <is>
          <t>source_claim</t>
        </is>
      </c>
      <c r="D179" s="6" t="inlineStr">
        <is>
          <t>SOURCE_CLAIM</t>
        </is>
      </c>
      <c r="E179" s="6" t="inlineStr">
        <is>
          <t>PUBLIC</t>
        </is>
      </c>
      <c r="F179" s="6" t="inlineStr">
        <is>
          <t>Gemini value-claim correction matrix</t>
        </is>
      </c>
    </row>
    <row r="180">
      <c r="A180" s="6" t="inlineStr">
        <is>
          <t>r6_claims</t>
        </is>
      </c>
      <c r="B180" s="6" t="inlineStr">
        <is>
          <t>R6-C-106</t>
        </is>
      </c>
      <c r="C180" s="6" t="inlineStr">
        <is>
          <t>source_claim</t>
        </is>
      </c>
      <c r="D180" s="6" t="inlineStr">
        <is>
          <t>SOURCE_CLAIM</t>
        </is>
      </c>
      <c r="E180" s="6" t="inlineStr">
        <is>
          <t>PUBLIC</t>
        </is>
      </c>
      <c r="F180" s="6" t="inlineStr">
        <is>
          <t>Gemini value-claim correction matrix</t>
        </is>
      </c>
    </row>
    <row r="181">
      <c r="A181" s="6" t="inlineStr">
        <is>
          <t>r6_claims</t>
        </is>
      </c>
      <c r="B181" s="6" t="inlineStr">
        <is>
          <t>R6-C-107</t>
        </is>
      </c>
      <c r="C181" s="6" t="inlineStr">
        <is>
          <t>source_claim</t>
        </is>
      </c>
      <c r="D181" s="6" t="inlineStr">
        <is>
          <t>SOURCE_CLAIM</t>
        </is>
      </c>
      <c r="E181" s="6" t="inlineStr">
        <is>
          <t>PUBLIC</t>
        </is>
      </c>
      <c r="F181" s="6" t="inlineStr">
        <is>
          <t>Gemini value-claim correction matrix</t>
        </is>
      </c>
    </row>
    <row r="182">
      <c r="A182" s="6" t="inlineStr">
        <is>
          <t>r6_claims</t>
        </is>
      </c>
      <c r="B182" s="6" t="inlineStr">
        <is>
          <t>R6-C-108</t>
        </is>
      </c>
      <c r="C182" s="6" t="inlineStr">
        <is>
          <t>source_claim</t>
        </is>
      </c>
      <c r="D182" s="6" t="inlineStr">
        <is>
          <t>SOURCE_CLAIM</t>
        </is>
      </c>
      <c r="E182" s="6" t="inlineStr">
        <is>
          <t>PUBLIC</t>
        </is>
      </c>
      <c r="F182" s="6" t="inlineStr">
        <is>
          <t>Gemini value-claim correction matrix</t>
        </is>
      </c>
    </row>
    <row r="183">
      <c r="A183" s="6" t="inlineStr">
        <is>
          <t>r6_claims</t>
        </is>
      </c>
      <c r="B183" s="6" t="inlineStr">
        <is>
          <t>R6-C-109</t>
        </is>
      </c>
      <c r="C183" s="6" t="inlineStr">
        <is>
          <t>source_claim</t>
        </is>
      </c>
      <c r="D183" s="6" t="inlineStr">
        <is>
          <t>SOURCE_CLAIM</t>
        </is>
      </c>
      <c r="E183" s="6" t="inlineStr">
        <is>
          <t>PUBLIC</t>
        </is>
      </c>
      <c r="F183" s="6" t="inlineStr">
        <is>
          <t>Gemini value-claim correction matrix</t>
        </is>
      </c>
    </row>
    <row r="184">
      <c r="A184" s="6" t="inlineStr">
        <is>
          <t>r6_claims</t>
        </is>
      </c>
      <c r="B184" s="6" t="inlineStr">
        <is>
          <t>R6-C-110</t>
        </is>
      </c>
      <c r="C184" s="6" t="inlineStr">
        <is>
          <t>source_claim</t>
        </is>
      </c>
      <c r="D184" s="6" t="inlineStr">
        <is>
          <t>SOURCE_CLAIM</t>
        </is>
      </c>
      <c r="E184" s="6" t="inlineStr">
        <is>
          <t>PUBLIC</t>
        </is>
      </c>
      <c r="F184" s="6" t="inlineStr">
        <is>
          <t>Gemini value-claim correction matrix</t>
        </is>
      </c>
    </row>
    <row r="185">
      <c r="A185" s="6" t="inlineStr">
        <is>
          <t>r6_claims</t>
        </is>
      </c>
      <c r="B185" s="6" t="inlineStr">
        <is>
          <t>R6-C-111</t>
        </is>
      </c>
      <c r="C185" s="6" t="inlineStr">
        <is>
          <t>source_claim</t>
        </is>
      </c>
      <c r="D185" s="6" t="inlineStr">
        <is>
          <t>SOURCE_CLAIM</t>
        </is>
      </c>
      <c r="E185" s="6" t="inlineStr">
        <is>
          <t>PUBLIC</t>
        </is>
      </c>
      <c r="F185" s="6" t="inlineStr">
        <is>
          <t>metric witness amendment 2026-07-18</t>
        </is>
      </c>
    </row>
    <row r="186">
      <c r="A186" s="6" t="inlineStr">
        <is>
          <t>r6_claims</t>
        </is>
      </c>
      <c r="B186" s="6" t="inlineStr">
        <is>
          <t>R6-C-201</t>
        </is>
      </c>
      <c r="C186" s="6" t="inlineStr">
        <is>
          <t>source_claim</t>
        </is>
      </c>
      <c r="D186" s="6" t="inlineStr">
        <is>
          <t>SOURCE_CLAIM</t>
        </is>
      </c>
      <c r="E186" s="6" t="inlineStr">
        <is>
          <t>PUBLIC</t>
        </is>
      </c>
      <c r="F186" s="6" t="inlineStr">
        <is>
          <t>JH corpus (biological lane)</t>
        </is>
      </c>
    </row>
    <row r="187">
      <c r="A187" s="6" t="inlineStr">
        <is>
          <t>r6_claims</t>
        </is>
      </c>
      <c r="B187" s="6" t="inlineStr">
        <is>
          <t>R6-C-202</t>
        </is>
      </c>
      <c r="C187" s="6" t="inlineStr">
        <is>
          <t>source_claim</t>
        </is>
      </c>
      <c r="D187" s="6" t="inlineStr">
        <is>
          <t>SOURCE_CLAIM</t>
        </is>
      </c>
      <c r="E187" s="6" t="inlineStr">
        <is>
          <t>PUBLIC</t>
        </is>
      </c>
      <c r="F187" s="6" t="inlineStr">
        <is>
          <t>JH corpus (biological lane)</t>
        </is>
      </c>
    </row>
    <row r="188">
      <c r="A188" s="6" t="inlineStr">
        <is>
          <t>r6_claims</t>
        </is>
      </c>
      <c r="B188" s="6" t="inlineStr">
        <is>
          <t>R6-C-203</t>
        </is>
      </c>
      <c r="C188" s="6" t="inlineStr">
        <is>
          <t>source_claim</t>
        </is>
      </c>
      <c r="D188" s="6" t="inlineStr">
        <is>
          <t>SOURCE_CLAIM</t>
        </is>
      </c>
      <c r="E188" s="6" t="inlineStr">
        <is>
          <t>PUBLIC</t>
        </is>
      </c>
      <c r="F188" s="6" t="inlineStr">
        <is>
          <t>JH corpus (biological lane)</t>
        </is>
      </c>
    </row>
    <row r="189">
      <c r="A189" s="6" t="inlineStr">
        <is>
          <t>r6_claims</t>
        </is>
      </c>
      <c r="B189" s="6" t="inlineStr">
        <is>
          <t>R6-C-204</t>
        </is>
      </c>
      <c r="C189" s="6" t="inlineStr">
        <is>
          <t>source_claim</t>
        </is>
      </c>
      <c r="D189" s="6" t="inlineStr">
        <is>
          <t>SOURCE_CLAIM</t>
        </is>
      </c>
      <c r="E189" s="6" t="inlineStr">
        <is>
          <t>PUBLIC</t>
        </is>
      </c>
      <c r="F189" s="6" t="inlineStr">
        <is>
          <t>JH corpus (biological lane)</t>
        </is>
      </c>
    </row>
    <row r="190">
      <c r="A190" s="6" t="inlineStr">
        <is>
          <t>r6_claims</t>
        </is>
      </c>
      <c r="B190" s="6" t="inlineStr">
        <is>
          <t>R6-C-205</t>
        </is>
      </c>
      <c r="C190" s="6" t="inlineStr">
        <is>
          <t>source_claim</t>
        </is>
      </c>
      <c r="D190" s="6" t="inlineStr">
        <is>
          <t>SOURCE_CLAIM</t>
        </is>
      </c>
      <c r="E190" s="6" t="inlineStr">
        <is>
          <t>PUBLIC</t>
        </is>
      </c>
      <c r="F190" s="6" t="inlineStr">
        <is>
          <t>JH corpus (biological lane)</t>
        </is>
      </c>
    </row>
    <row r="191">
      <c r="A191" s="6" t="inlineStr">
        <is>
          <t>r6_claims</t>
        </is>
      </c>
      <c r="B191" s="6" t="inlineStr">
        <is>
          <t>R6-C-206</t>
        </is>
      </c>
      <c r="C191" s="6" t="inlineStr">
        <is>
          <t>source_claim</t>
        </is>
      </c>
      <c r="D191" s="6" t="inlineStr">
        <is>
          <t>SOURCE_CLAIM</t>
        </is>
      </c>
      <c r="E191" s="6" t="inlineStr">
        <is>
          <t>PUBLIC</t>
        </is>
      </c>
      <c r="F191" s="6" t="inlineStr">
        <is>
          <t>JH corpus (biological lane)</t>
        </is>
      </c>
    </row>
    <row r="192">
      <c r="A192" s="6" t="inlineStr">
        <is>
          <t>r6_claims</t>
        </is>
      </c>
      <c r="B192" s="6" t="inlineStr">
        <is>
          <t>R6-C-207</t>
        </is>
      </c>
      <c r="C192" s="6" t="inlineStr">
        <is>
          <t>source_claim</t>
        </is>
      </c>
      <c r="D192" s="6" t="inlineStr">
        <is>
          <t>SOURCE_CLAIM</t>
        </is>
      </c>
      <c r="E192" s="6" t="inlineStr">
        <is>
          <t>PUBLIC</t>
        </is>
      </c>
      <c r="F192" s="6" t="inlineStr">
        <is>
          <t>JH corpus (biological lane)</t>
        </is>
      </c>
    </row>
    <row r="193">
      <c r="A193" s="6" t="inlineStr">
        <is>
          <t>r6_claims</t>
        </is>
      </c>
      <c r="B193" s="6" t="inlineStr">
        <is>
          <t>R6-C-208</t>
        </is>
      </c>
      <c r="C193" s="6" t="inlineStr">
        <is>
          <t>source_claim</t>
        </is>
      </c>
      <c r="D193" s="6" t="inlineStr">
        <is>
          <t>SOURCE_CLAIM</t>
        </is>
      </c>
      <c r="E193" s="6" t="inlineStr">
        <is>
          <t>PUBLIC</t>
        </is>
      </c>
      <c r="F193" s="6" t="inlineStr">
        <is>
          <t>JH corpus (biological lane)</t>
        </is>
      </c>
    </row>
    <row r="194">
      <c r="A194" s="6" t="inlineStr">
        <is>
          <t>r6_claims</t>
        </is>
      </c>
      <c r="B194" s="6" t="inlineStr">
        <is>
          <t>R6-C-209</t>
        </is>
      </c>
      <c r="C194" s="6" t="inlineStr">
        <is>
          <t>source_claim</t>
        </is>
      </c>
      <c r="D194" s="6" t="inlineStr">
        <is>
          <t>SOURCE_CLAIM</t>
        </is>
      </c>
      <c r="E194" s="6" t="inlineStr">
        <is>
          <t>PUBLIC</t>
        </is>
      </c>
      <c r="F194" s="6" t="inlineStr">
        <is>
          <t>JH corpus (biological lane)</t>
        </is>
      </c>
    </row>
    <row r="195">
      <c r="A195" s="7" t="inlineStr">
        <is>
          <t>r6_apparatus</t>
        </is>
      </c>
      <c r="B195" s="7" t="inlineStr">
        <is>
          <t>R6-COIL-SOLENOID-VALIDATION</t>
        </is>
      </c>
      <c r="C195" s="7" t="inlineStr">
        <is>
          <t>solver_validation</t>
        </is>
      </c>
      <c r="D195" s="7" t="inlineStr">
        <is>
          <t>DERIVED_ARITHMETIC</t>
        </is>
      </c>
      <c r="E195" s="7" t="inlineStr">
        <is>
          <t>PUBLIC</t>
        </is>
      </c>
      <c r="F195" s="7" t="inlineStr">
        <is>
          <t>r6.helix.validate_against_solenoid</t>
        </is>
      </c>
    </row>
    <row r="196">
      <c r="A196" s="7" t="inlineStr">
        <is>
          <t>r6_apparatus</t>
        </is>
      </c>
      <c r="B196" s="7" t="inlineStr">
        <is>
          <t>R6-DRIVE-ALTERNATING-DECOMPOSITION</t>
        </is>
      </c>
      <c r="C196" s="7" t="inlineStr">
        <is>
          <t>drive_decomposition</t>
        </is>
      </c>
      <c r="D196" s="7" t="inlineStr">
        <is>
          <t>DERIVED_ARITHMETIC</t>
        </is>
      </c>
      <c r="E196" s="7" t="inlineStr">
        <is>
          <t>PUBLIC</t>
        </is>
      </c>
      <c r="F196" s="7" t="inlineStr">
        <is>
          <t>r6.helix.decompose_pulse_trains</t>
        </is>
      </c>
    </row>
    <row r="197">
      <c r="A197" s="7" t="inlineStr">
        <is>
          <t>r6_apparatus</t>
        </is>
      </c>
      <c r="B197" s="7" t="inlineStr">
        <is>
          <t>R6-SOURCE-FREQUENCY-AUDIT</t>
        </is>
      </c>
      <c r="C197" s="7" t="inlineStr">
        <is>
          <t>frequency_null</t>
        </is>
      </c>
      <c r="D197" s="7" t="inlineStr">
        <is>
          <t>DERIVED_ARITHMETIC</t>
        </is>
      </c>
      <c r="E197" s="7" t="inlineStr">
        <is>
          <t>PUBLIC</t>
        </is>
      </c>
      <c r="F197" s="7" t="inlineStr">
        <is>
          <t>r6.pulse.source_frequency_audit</t>
        </is>
      </c>
    </row>
    <row r="198">
      <c r="A198" s="7" t="inlineStr">
        <is>
          <t>r6_witness</t>
        </is>
      </c>
      <c r="B198" s="7" t="inlineStr">
        <is>
          <t>R6-WITNESS-CAESIUM-1M</t>
        </is>
      </c>
      <c r="C198" s="7" t="inlineStr">
        <is>
          <t>clock_comparison</t>
        </is>
      </c>
      <c r="D198" s="7" t="inlineStr">
        <is>
          <t>DERIVED_ARITHMETIC</t>
        </is>
      </c>
      <c r="E198" s="7" t="inlineStr">
        <is>
          <t>PUBLIC</t>
        </is>
      </c>
      <c r="F198" s="7" t="inlineStr">
        <is>
          <t>r6.witness.compare_witnesses</t>
        </is>
      </c>
    </row>
    <row r="199">
      <c r="A199" s="7" t="inlineStr">
        <is>
          <t>r6_witness</t>
        </is>
      </c>
      <c r="B199" s="7" t="inlineStr">
        <is>
          <t>R6-WITNESS-OPTICAL-1M</t>
        </is>
      </c>
      <c r="C199" s="7" t="inlineStr">
        <is>
          <t>clock_comparison</t>
        </is>
      </c>
      <c r="D199" s="7" t="inlineStr">
        <is>
          <t>DERIVED_ARITHMETIC</t>
        </is>
      </c>
      <c r="E199" s="7" t="inlineStr">
        <is>
          <t>PUBLIC</t>
        </is>
      </c>
      <c r="F199" s="7" t="inlineStr">
        <is>
          <t>r6.witness.compare_witnesses</t>
        </is>
      </c>
    </row>
    <row r="200">
      <c r="A200" s="7" t="inlineStr">
        <is>
          <t>r6_witness</t>
        </is>
      </c>
      <c r="B200" s="7" t="inlineStr">
        <is>
          <t>R6-WITNESS-DECAY-FIREWALL</t>
        </is>
      </c>
      <c r="C200" s="7" t="inlineStr">
        <is>
          <t>refusal</t>
        </is>
      </c>
      <c r="D200" s="7" t="inlineStr">
        <is>
          <t>DERIVED_ARITHMETIC</t>
        </is>
      </c>
      <c r="E200" s="7" t="inlineStr">
        <is>
          <t>PUBLIC</t>
        </is>
      </c>
      <c r="F200" s="7" t="inlineStr">
        <is>
          <t>r6.witness.infer_proper_time_from_payload</t>
        </is>
      </c>
    </row>
    <row r="201">
      <c r="A201" s="7" t="inlineStr">
        <is>
          <t>r6_witness</t>
        </is>
      </c>
      <c r="B201" s="7" t="inlineStr">
        <is>
          <t>R6-WITNESS-ROOT-CERT-BOUND</t>
        </is>
      </c>
      <c r="C201" s="7" t="inlineStr">
        <is>
          <t>reconstruction</t>
        </is>
      </c>
      <c r="D201" s="7" t="inlineStr">
        <is>
          <t>DERIVED_ARITHMETIC</t>
        </is>
      </c>
      <c r="E201" s="7" t="inlineStr">
        <is>
          <t>PUBLIC</t>
        </is>
      </c>
      <c r="F201" s="7" t="inlineStr">
        <is>
          <t>r6.witness.reconstruct</t>
        </is>
      </c>
    </row>
    <row r="202">
      <c r="A202" s="7" t="inlineStr">
        <is>
          <t>r6_mailbox</t>
        </is>
      </c>
      <c r="B202" s="7" t="inlineStr">
        <is>
          <t>R6-NAV-SOVEREIGNTY-AUDIT</t>
        </is>
      </c>
      <c r="C202" s="7" t="inlineStr">
        <is>
          <t>navigation_audit</t>
        </is>
      </c>
      <c r="D202" s="7" t="inlineStr">
        <is>
          <t>DERIVED_ARITHMETIC</t>
        </is>
      </c>
      <c r="E202" s="7" t="inlineStr">
        <is>
          <t>PUBLIC</t>
        </is>
      </c>
      <c r="F202" s="7" t="inlineStr">
        <is>
          <t>r6.navigation.sovereignty_audit</t>
        </is>
      </c>
    </row>
    <row r="203">
      <c r="A203" s="7" t="inlineStr">
        <is>
          <t>r6_mailbox</t>
        </is>
      </c>
      <c r="B203" s="7" t="inlineStr">
        <is>
          <t>R6-NAV-DEP-INERTIAL</t>
        </is>
      </c>
      <c r="C203" s="7" t="inlineStr">
        <is>
          <t>navigation_dependency</t>
        </is>
      </c>
      <c r="D203" s="7" t="inlineStr">
        <is>
          <t>DERIVED_ARITHMETIC</t>
        </is>
      </c>
      <c r="E203" s="7" t="inlineStr">
        <is>
          <t>PUBLIC</t>
        </is>
      </c>
      <c r="F203" s="7" t="inlineStr">
        <is>
          <t>r6.navigation.DEPENDENCIES</t>
        </is>
      </c>
    </row>
    <row r="204">
      <c r="A204" s="7" t="inlineStr">
        <is>
          <t>r6_mailbox</t>
        </is>
      </c>
      <c r="B204" s="7" t="inlineStr">
        <is>
          <t>R6-NAV-DEP-CLOCK_GEODESY</t>
        </is>
      </c>
      <c r="C204" s="7" t="inlineStr">
        <is>
          <t>navigation_dependency</t>
        </is>
      </c>
      <c r="D204" s="7" t="inlineStr">
        <is>
          <t>DERIVED_ARITHMETIC</t>
        </is>
      </c>
      <c r="E204" s="7" t="inlineStr">
        <is>
          <t>PUBLIC</t>
        </is>
      </c>
      <c r="F204" s="7" t="inlineStr">
        <is>
          <t>r6.navigation.DEPENDENCIES</t>
        </is>
      </c>
    </row>
    <row r="205">
      <c r="A205" s="7" t="inlineStr">
        <is>
          <t>r6_mailbox</t>
        </is>
      </c>
      <c r="B205" s="7" t="inlineStr">
        <is>
          <t>R6-NAV-DEP-GRAVITY_GRADIENT</t>
        </is>
      </c>
      <c r="C205" s="7" t="inlineStr">
        <is>
          <t>navigation_dependency</t>
        </is>
      </c>
      <c r="D205" s="7" t="inlineStr">
        <is>
          <t>DERIVED_ARITHMETIC</t>
        </is>
      </c>
      <c r="E205" s="7" t="inlineStr">
        <is>
          <t>PUBLIC</t>
        </is>
      </c>
      <c r="F205" s="7" t="inlineStr">
        <is>
          <t>r6.navigation.DEPENDENCIES</t>
        </is>
      </c>
    </row>
    <row r="206">
      <c r="A206" s="7" t="inlineStr">
        <is>
          <t>r6_mailbox</t>
        </is>
      </c>
      <c r="B206" s="7" t="inlineStr">
        <is>
          <t>R6-NAV-DEP-GEOMAGNETIC</t>
        </is>
      </c>
      <c r="C206" s="7" t="inlineStr">
        <is>
          <t>navigation_dependency</t>
        </is>
      </c>
      <c r="D206" s="7" t="inlineStr">
        <is>
          <t>DERIVED_ARITHMETIC</t>
        </is>
      </c>
      <c r="E206" s="7" t="inlineStr">
        <is>
          <t>PUBLIC</t>
        </is>
      </c>
      <c r="F206" s="7" t="inlineStr">
        <is>
          <t>r6.navigation.DEPENDENCIES</t>
        </is>
      </c>
    </row>
    <row r="207">
      <c r="A207" s="7" t="inlineStr">
        <is>
          <t>r6_mailbox</t>
        </is>
      </c>
      <c r="B207" s="7" t="inlineStr">
        <is>
          <t>R6-NAV-DEP-CELESTIAL</t>
        </is>
      </c>
      <c r="C207" s="7" t="inlineStr">
        <is>
          <t>navigation_dependency</t>
        </is>
      </c>
      <c r="D207" s="7" t="inlineStr">
        <is>
          <t>DERIVED_ARITHMETIC</t>
        </is>
      </c>
      <c r="E207" s="7" t="inlineStr">
        <is>
          <t>PUBLIC</t>
        </is>
      </c>
      <c r="F207" s="7" t="inlineStr">
        <is>
          <t>r6.navigation.DEPENDENCIES</t>
        </is>
      </c>
    </row>
    <row r="208">
      <c r="A208" s="7" t="inlineStr">
        <is>
          <t>r6_mailbox</t>
        </is>
      </c>
      <c r="B208" s="7" t="inlineStr">
        <is>
          <t>R6-NAV-DEP-TERRAIN</t>
        </is>
      </c>
      <c r="C208" s="7" t="inlineStr">
        <is>
          <t>navigation_dependency</t>
        </is>
      </c>
      <c r="D208" s="7" t="inlineStr">
        <is>
          <t>DERIVED_ARITHMETIC</t>
        </is>
      </c>
      <c r="E208" s="7" t="inlineStr">
        <is>
          <t>PUBLIC</t>
        </is>
      </c>
      <c r="F208" s="7" t="inlineStr">
        <is>
          <t>r6.navigation.DEPENDENCIES</t>
        </is>
      </c>
    </row>
    <row r="209">
      <c r="A209" s="7" t="inlineStr">
        <is>
          <t>r6_mailbox</t>
        </is>
      </c>
      <c r="B209" s="7" t="inlineStr">
        <is>
          <t>R6-NAV-DEP-OPTICAL_FLOW</t>
        </is>
      </c>
      <c r="C209" s="7" t="inlineStr">
        <is>
          <t>navigation_dependency</t>
        </is>
      </c>
      <c r="D209" s="7" t="inlineStr">
        <is>
          <t>DERIVED_ARITHMETIC</t>
        </is>
      </c>
      <c r="E209" s="7" t="inlineStr">
        <is>
          <t>PUBLIC</t>
        </is>
      </c>
      <c r="F209" s="7" t="inlineStr">
        <is>
          <t>r6.navigation.DEPENDENCIES</t>
        </is>
      </c>
    </row>
    <row r="210">
      <c r="A210" s="7" t="inlineStr">
        <is>
          <t>r6_mailbox</t>
        </is>
      </c>
      <c r="B210" s="7" t="inlineStr">
        <is>
          <t>R6-NAV-CLOCK-OBSERVABILITY</t>
        </is>
      </c>
      <c r="C210" s="7" t="inlineStr">
        <is>
          <t>observability</t>
        </is>
      </c>
      <c r="D210" s="7" t="inlineStr">
        <is>
          <t>DERIVED_ARITHMETIC</t>
        </is>
      </c>
      <c r="E210" s="7" t="inlineStr">
        <is>
          <t>PUBLIC</t>
        </is>
      </c>
      <c r="F210" s="7" t="inlineStr">
        <is>
          <t>r6.navigation.analyze_observability</t>
        </is>
      </c>
    </row>
    <row r="211">
      <c r="A211" s="7" t="inlineStr">
        <is>
          <t>r6_mailbox</t>
        </is>
      </c>
      <c r="B211" s="7" t="inlineStr">
        <is>
          <t>R6-MAILBOX-LAB-SCALE</t>
        </is>
      </c>
      <c r="C211" s="7" t="inlineStr">
        <is>
          <t>scale_analogy</t>
        </is>
      </c>
      <c r="D211" s="7" t="inlineStr">
        <is>
          <t>DERIVED_ARITHMETIC</t>
        </is>
      </c>
      <c r="E211" s="7" t="inlineStr">
        <is>
          <t>PUBLIC</t>
        </is>
      </c>
      <c r="F211" s="7" t="inlineStr">
        <is>
          <t>r6.mailbox.laboratory_scale_model</t>
        </is>
      </c>
    </row>
    <row r="212">
      <c r="A212" s="7" t="inlineStr">
        <is>
          <t>r6_mailbox</t>
        </is>
      </c>
      <c r="B212" s="7" t="inlineStr">
        <is>
          <t>R6-MAILBOX-NONLOCAL-REFUSAL</t>
        </is>
      </c>
      <c r="C212" s="7" t="inlineStr">
        <is>
          <t>refusal</t>
        </is>
      </c>
      <c r="D212" s="7" t="inlineStr">
        <is>
          <t>DERIVED_ARITHMETIC</t>
        </is>
      </c>
      <c r="E212" s="7" t="inlineStr">
        <is>
          <t>PUBLIC</t>
        </is>
      </c>
      <c r="F212" s="7" t="inlineStr">
        <is>
          <t>r6.mailbox.refuse_nonlocal_delivery</t>
        </is>
      </c>
    </row>
    <row r="213">
      <c r="A213" s="7" t="inlineStr">
        <is>
          <t>r6_grid</t>
        </is>
      </c>
      <c r="B213" s="7" t="inlineStr">
        <is>
          <t>R6-GRID-TETRAHEDRAL</t>
        </is>
      </c>
      <c r="C213" s="7" t="inlineStr">
        <is>
          <t>symmetry_audit</t>
        </is>
      </c>
      <c r="D213" s="7" t="inlineStr">
        <is>
          <t>DERIVED_ARITHMETIC</t>
        </is>
      </c>
      <c r="E213" s="7" t="inlineStr">
        <is>
          <t>PUBLIC</t>
        </is>
      </c>
      <c r="F213" s="7" t="inlineStr">
        <is>
          <t>r6.grid.audit</t>
        </is>
      </c>
    </row>
    <row r="214">
      <c r="A214" s="7" t="inlineStr">
        <is>
          <t>r6_grid</t>
        </is>
      </c>
      <c r="B214" s="7" t="inlineStr">
        <is>
          <t>R6-GRID-OCTAHEDRAL</t>
        </is>
      </c>
      <c r="C214" s="7" t="inlineStr">
        <is>
          <t>symmetry_audit</t>
        </is>
      </c>
      <c r="D214" s="7" t="inlineStr">
        <is>
          <t>DERIVED_ARITHMETIC</t>
        </is>
      </c>
      <c r="E214" s="7" t="inlineStr">
        <is>
          <t>PUBLIC</t>
        </is>
      </c>
      <c r="F214" s="7" t="inlineStr">
        <is>
          <t>r6.grid.audit</t>
        </is>
      </c>
    </row>
    <row r="215">
      <c r="A215" s="7" t="inlineStr">
        <is>
          <t>r6_grid</t>
        </is>
      </c>
      <c r="B215" s="7" t="inlineStr">
        <is>
          <t>R6-GRID-ICOSAHEDRAL</t>
        </is>
      </c>
      <c r="C215" s="7" t="inlineStr">
        <is>
          <t>symmetry_audit</t>
        </is>
      </c>
      <c r="D215" s="7" t="inlineStr">
        <is>
          <t>DERIVED_ARITHMETIC</t>
        </is>
      </c>
      <c r="E215" s="7" t="inlineStr">
        <is>
          <t>PUBLIC</t>
        </is>
      </c>
      <c r="F215" s="7" t="inlineStr">
        <is>
          <t>r6.grid.audit</t>
        </is>
      </c>
    </row>
    <row r="216">
      <c r="A216" s="7" t="inlineStr">
        <is>
          <t>r6_grid</t>
        </is>
      </c>
      <c r="B216" s="7" t="inlineStr">
        <is>
          <t>R6-GRID-DATA-AVAILABILITY</t>
        </is>
      </c>
      <c r="C216" s="7" t="inlineStr">
        <is>
          <t>data_status</t>
        </is>
      </c>
      <c r="D216" s="7" t="inlineStr">
        <is>
          <t>DERIVED_ARITHMETIC</t>
        </is>
      </c>
      <c r="E216" s="7" t="inlineStr">
        <is>
          <t>PUBLIC</t>
        </is>
      </c>
      <c r="F216" s="7" t="inlineStr">
        <is>
          <t>r6.grid.data_availability</t>
        </is>
      </c>
    </row>
    <row r="217">
      <c r="A217" s="7" t="inlineStr">
        <is>
          <t>r6_grid</t>
        </is>
      </c>
      <c r="B217" s="7" t="inlineStr">
        <is>
          <t>R6-GRID-PROJECTOR-TETRAHEDRAL-L3</t>
        </is>
      </c>
      <c r="C217" s="7" t="inlineStr">
        <is>
          <t>projector_check</t>
        </is>
      </c>
      <c r="D217" s="7" t="inlineStr">
        <is>
          <t>DERIVED_ARITHMETIC</t>
        </is>
      </c>
      <c r="E217" s="7" t="inlineStr">
        <is>
          <t>PUBLIC</t>
        </is>
      </c>
      <c r="F217" s="7" t="inlineStr">
        <is>
          <t>r6.wigner.verify_projector</t>
        </is>
      </c>
    </row>
    <row r="218">
      <c r="A218" s="7" t="inlineStr">
        <is>
          <t>r6_grid</t>
        </is>
      </c>
      <c r="B218" s="7" t="inlineStr">
        <is>
          <t>R6-GRID-PROJECTOR-OCTAHEDRAL-L4</t>
        </is>
      </c>
      <c r="C218" s="7" t="inlineStr">
        <is>
          <t>projector_check</t>
        </is>
      </c>
      <c r="D218" s="7" t="inlineStr">
        <is>
          <t>DERIVED_ARITHMETIC</t>
        </is>
      </c>
      <c r="E218" s="7" t="inlineStr">
        <is>
          <t>PUBLIC</t>
        </is>
      </c>
      <c r="F218" s="7" t="inlineStr">
        <is>
          <t>r6.wigner.verify_projector</t>
        </is>
      </c>
    </row>
    <row r="219">
      <c r="A219" s="7" t="inlineStr">
        <is>
          <t>r6_grid</t>
        </is>
      </c>
      <c r="B219" s="7" t="inlineStr">
        <is>
          <t>R6-GRID-PROJECTOR-ICOSAHEDRAL-L6</t>
        </is>
      </c>
      <c r="C219" s="7" t="inlineStr">
        <is>
          <t>projector_check</t>
        </is>
      </c>
      <c r="D219" s="7" t="inlineStr">
        <is>
          <t>DERIVED_ARITHMETIC</t>
        </is>
      </c>
      <c r="E219" s="7" t="inlineStr">
        <is>
          <t>PUBLIC</t>
        </is>
      </c>
      <c r="F219" s="7" t="inlineStr">
        <is>
          <t>r6.wigner.verify_projector</t>
        </is>
      </c>
    </row>
    <row r="220">
      <c r="A220" s="7" t="inlineStr">
        <is>
          <t>r6_instruments</t>
        </is>
      </c>
      <c r="B220" s="7" t="inlineStr">
        <is>
          <t>R6-INSTRUMENT-COVERAGE</t>
        </is>
      </c>
      <c r="C220" s="7" t="inlineStr">
        <is>
          <t>coverage</t>
        </is>
      </c>
      <c r="D220" s="7" t="inlineStr">
        <is>
          <t>DERIVED_ARITHMETIC</t>
        </is>
      </c>
      <c r="E220" s="7" t="inlineStr">
        <is>
          <t>PUBLIC</t>
        </is>
      </c>
      <c r="F220" s="7" t="inlineStr">
        <is>
          <t>r6.instrument.coverage_report</t>
        </is>
      </c>
    </row>
    <row r="221">
      <c r="A221" s="13" t="inlineStr">
        <is>
          <t>r6_instruments</t>
        </is>
      </c>
      <c r="B221" s="13" t="inlineStr">
        <is>
          <t>DEV-CADUCEUS-TORSION-01</t>
        </is>
      </c>
      <c r="C221" s="13" t="inlineStr">
        <is>
          <t>uncalibrated_device</t>
        </is>
      </c>
      <c r="D221" s="13" t="inlineStr">
        <is>
          <t>UNSUPPORTED</t>
        </is>
      </c>
      <c r="E221" s="13" t="inlineStr">
        <is>
          <t>PUBLIC</t>
        </is>
      </c>
      <c r="F221" s="13" t="inlineStr">
        <is>
          <t>catalogue-class description, not owned equipment</t>
        </is>
      </c>
    </row>
    <row r="222">
      <c r="A222" s="7" t="inlineStr">
        <is>
          <t>r6_governance</t>
        </is>
      </c>
      <c r="B222" s="7" t="inlineStr">
        <is>
          <t>R6-PROTOCOL-GOVERNANCE</t>
        </is>
      </c>
      <c r="C222" s="7" t="inlineStr">
        <is>
          <t>governance_status</t>
        </is>
      </c>
      <c r="D222" s="7" t="inlineStr">
        <is>
          <t>DERIVED_ARITHMETIC</t>
        </is>
      </c>
      <c r="E222" s="7" t="inlineStr">
        <is>
          <t>PUBLIC</t>
        </is>
      </c>
      <c r="F222" s="7" t="inlineStr">
        <is>
          <t>r6.protocol.governance_status</t>
        </is>
      </c>
    </row>
    <row r="223">
      <c r="A223" s="7" t="inlineStr">
        <is>
          <t>r6_governance</t>
        </is>
      </c>
      <c r="B223" s="7" t="inlineStr">
        <is>
          <t>R6-BENCH-READINESS</t>
        </is>
      </c>
      <c r="C223" s="7" t="inlineStr">
        <is>
          <t>bench_readiness</t>
        </is>
      </c>
      <c r="D223" s="7" t="inlineStr">
        <is>
          <t>DERIVED_ARITHMETIC</t>
        </is>
      </c>
      <c r="E223" s="7" t="inlineStr">
        <is>
          <t>PUBLIC</t>
        </is>
      </c>
      <c r="F223" s="7" t="inlineStr">
        <is>
          <t>r6.bench.bench_readiness</t>
        </is>
      </c>
    </row>
    <row r="224">
      <c r="A224" s="7" t="inlineStr">
        <is>
          <t>r6_governance</t>
        </is>
      </c>
      <c r="B224" s="7" t="inlineStr">
        <is>
          <t>R6-HAZARD-HIGH_VOLTAGE_PULSE</t>
        </is>
      </c>
      <c r="C224" s="7" t="inlineStr">
        <is>
          <t>hazard</t>
        </is>
      </c>
      <c r="D224" s="7" t="inlineStr">
        <is>
          <t>DERIVED_ARITHMETIC</t>
        </is>
      </c>
      <c r="E224" s="7" t="inlineStr">
        <is>
          <t>PUBLIC</t>
        </is>
      </c>
      <c r="F224" s="7" t="inlineStr">
        <is>
          <t>r6.bench.HAZARDS</t>
        </is>
      </c>
    </row>
    <row r="225">
      <c r="A225" s="7" t="inlineStr">
        <is>
          <t>r6_governance</t>
        </is>
      </c>
      <c r="B225" s="7" t="inlineStr">
        <is>
          <t>R6-HAZARD-MAINS_CONSTRUCTION</t>
        </is>
      </c>
      <c r="C225" s="7" t="inlineStr">
        <is>
          <t>hazard</t>
        </is>
      </c>
      <c r="D225" s="7" t="inlineStr">
        <is>
          <t>DERIVED_ARITHMETIC</t>
        </is>
      </c>
      <c r="E225" s="7" t="inlineStr">
        <is>
          <t>PUBLIC</t>
        </is>
      </c>
      <c r="F225" s="7" t="inlineStr">
        <is>
          <t>r6.bench.HAZARDS</t>
        </is>
      </c>
    </row>
    <row r="226">
      <c r="A226" s="7" t="inlineStr">
        <is>
          <t>r6_governance</t>
        </is>
      </c>
      <c r="B226" s="7" t="inlineStr">
        <is>
          <t>R6-HAZARD-RF_EMISSION</t>
        </is>
      </c>
      <c r="C226" s="7" t="inlineStr">
        <is>
          <t>hazard</t>
        </is>
      </c>
      <c r="D226" s="7" t="inlineStr">
        <is>
          <t>DERIVED_ARITHMETIC</t>
        </is>
      </c>
      <c r="E226" s="7" t="inlineStr">
        <is>
          <t>PUBLIC</t>
        </is>
      </c>
      <c r="F226" s="7" t="inlineStr">
        <is>
          <t>r6.bench.HAZARDS</t>
        </is>
      </c>
    </row>
    <row r="227">
      <c r="A227" s="7" t="inlineStr">
        <is>
          <t>r6_governance</t>
        </is>
      </c>
      <c r="B227" s="7" t="inlineStr">
        <is>
          <t>R6-HAZARD-OPTICAL</t>
        </is>
      </c>
      <c r="C227" s="7" t="inlineStr">
        <is>
          <t>hazard</t>
        </is>
      </c>
      <c r="D227" s="7" t="inlineStr">
        <is>
          <t>DERIVED_ARITHMETIC</t>
        </is>
      </c>
      <c r="E227" s="7" t="inlineStr">
        <is>
          <t>PUBLIC</t>
        </is>
      </c>
      <c r="F227" s="7" t="inlineStr">
        <is>
          <t>r6.bench.HAZARDS</t>
        </is>
      </c>
    </row>
    <row r="228">
      <c r="A228" s="7" t="inlineStr">
        <is>
          <t>r6_governance</t>
        </is>
      </c>
      <c r="B228" s="7" t="inlineStr">
        <is>
          <t>R6-HAZARD-ULTRASOUND</t>
        </is>
      </c>
      <c r="C228" s="7" t="inlineStr">
        <is>
          <t>hazard</t>
        </is>
      </c>
      <c r="D228" s="7" t="inlineStr">
        <is>
          <t>DERIVED_ARITHMETIC</t>
        </is>
      </c>
      <c r="E228" s="7" t="inlineStr">
        <is>
          <t>PUBLIC</t>
        </is>
      </c>
      <c r="F228" s="7" t="inlineStr">
        <is>
          <t>r6.bench.HAZARDS</t>
        </is>
      </c>
    </row>
    <row r="229">
      <c r="A229" s="7" t="inlineStr">
        <is>
          <t>r6_governance</t>
        </is>
      </c>
      <c r="B229" s="7" t="inlineStr">
        <is>
          <t>R6-HAZARD-MECHANICAL_FRACTURE</t>
        </is>
      </c>
      <c r="C229" s="7" t="inlineStr">
        <is>
          <t>hazard</t>
        </is>
      </c>
      <c r="D229" s="7" t="inlineStr">
        <is>
          <t>DERIVED_ARITHMETIC</t>
        </is>
      </c>
      <c r="E229" s="7" t="inlineStr">
        <is>
          <t>PUBLIC</t>
        </is>
      </c>
      <c r="F229" s="7" t="inlineStr">
        <is>
          <t>r6.bench.HAZARDS</t>
        </is>
      </c>
    </row>
    <row r="230">
      <c r="A230" s="7" t="inlineStr">
        <is>
          <t>r6_governance</t>
        </is>
      </c>
      <c r="B230" s="7" t="inlineStr">
        <is>
          <t>R6-HAZARD-BIOLOGICAL_EXPOSURE</t>
        </is>
      </c>
      <c r="C230" s="7" t="inlineStr">
        <is>
          <t>hazard</t>
        </is>
      </c>
      <c r="D230" s="7" t="inlineStr">
        <is>
          <t>DERIVED_ARITHMETIC</t>
        </is>
      </c>
      <c r="E230" s="7" t="inlineStr">
        <is>
          <t>PUBLIC</t>
        </is>
      </c>
      <c r="F230" s="7" t="inlineStr">
        <is>
          <t>r6.bench.HAZARDS</t>
        </is>
      </c>
    </row>
    <row r="231">
      <c r="A231" s="7" t="inlineStr">
        <is>
          <t>r7_cw</t>
        </is>
      </c>
      <c r="B231" s="7" t="inlineStr">
        <is>
          <t>R7-CW-PARSE-NULL</t>
        </is>
      </c>
      <c r="C231" s="7" t="inlineStr">
        <is>
          <t>parse_null</t>
        </is>
      </c>
      <c r="D231" s="7" t="inlineStr">
        <is>
          <t>DERIVED_ARITHMETIC</t>
        </is>
      </c>
      <c r="E231" s="7" t="inlineStr">
        <is>
          <t>PUBLIC</t>
        </is>
      </c>
      <c r="F231" s="7" t="inlineStr">
        <is>
          <t>r7.cw.status_report</t>
        </is>
      </c>
    </row>
    <row r="232">
      <c r="A232" s="6" t="inlineStr">
        <is>
          <t>r7_cw</t>
        </is>
      </c>
      <c r="B232" s="6" t="inlineStr">
        <is>
          <t>R7-CW-VECTOR-00</t>
        </is>
      </c>
      <c r="C232" s="6" t="inlineStr">
        <is>
          <t>source_vector</t>
        </is>
      </c>
      <c r="D232" s="6" t="inlineStr">
        <is>
          <t>SOURCE_CLAIM</t>
        </is>
      </c>
      <c r="E232" s="6" t="inlineStr">
        <is>
          <t>PUBLIC</t>
        </is>
      </c>
      <c r="F232" s="6" t="inlineStr">
        <is>
          <t>JH corpus CW vector strings</t>
        </is>
      </c>
    </row>
    <row r="233">
      <c r="A233" s="6" t="inlineStr">
        <is>
          <t>r7_cw</t>
        </is>
      </c>
      <c r="B233" s="6" t="inlineStr">
        <is>
          <t>R7-CW-VECTOR-01</t>
        </is>
      </c>
      <c r="C233" s="6" t="inlineStr">
        <is>
          <t>source_vector</t>
        </is>
      </c>
      <c r="D233" s="6" t="inlineStr">
        <is>
          <t>SOURCE_CLAIM</t>
        </is>
      </c>
      <c r="E233" s="6" t="inlineStr">
        <is>
          <t>PUBLIC</t>
        </is>
      </c>
      <c r="F233" s="6" t="inlineStr">
        <is>
          <t>JH corpus CW vector strings</t>
        </is>
      </c>
    </row>
    <row r="234">
      <c r="A234" s="6" t="inlineStr">
        <is>
          <t>r7_cw</t>
        </is>
      </c>
      <c r="B234" s="6" t="inlineStr">
        <is>
          <t>R7-CW-VECTOR-02</t>
        </is>
      </c>
      <c r="C234" s="6" t="inlineStr">
        <is>
          <t>source_vector</t>
        </is>
      </c>
      <c r="D234" s="6" t="inlineStr">
        <is>
          <t>SOURCE_CLAIM</t>
        </is>
      </c>
      <c r="E234" s="6" t="inlineStr">
        <is>
          <t>PUBLIC</t>
        </is>
      </c>
      <c r="F234" s="6" t="inlineStr">
        <is>
          <t>JH corpus CW vector strings</t>
        </is>
      </c>
    </row>
    <row r="235">
      <c r="A235" s="6" t="inlineStr">
        <is>
          <t>r7_cw</t>
        </is>
      </c>
      <c r="B235" s="6" t="inlineStr">
        <is>
          <t>R7-CW-VECTOR-03</t>
        </is>
      </c>
      <c r="C235" s="6" t="inlineStr">
        <is>
          <t>source_vector</t>
        </is>
      </c>
      <c r="D235" s="6" t="inlineStr">
        <is>
          <t>SOURCE_CLAIM</t>
        </is>
      </c>
      <c r="E235" s="6" t="inlineStr">
        <is>
          <t>PUBLIC</t>
        </is>
      </c>
      <c r="F235" s="6" t="inlineStr">
        <is>
          <t>JH corpus CW vector strings</t>
        </is>
      </c>
    </row>
    <row r="236">
      <c r="A236" s="6" t="inlineStr">
        <is>
          <t>r7_cw</t>
        </is>
      </c>
      <c r="B236" s="6" t="inlineStr">
        <is>
          <t>R7-CW-VECTOR-04</t>
        </is>
      </c>
      <c r="C236" s="6" t="inlineStr">
        <is>
          <t>source_vector</t>
        </is>
      </c>
      <c r="D236" s="6" t="inlineStr">
        <is>
          <t>SOURCE_CLAIM</t>
        </is>
      </c>
      <c r="E236" s="6" t="inlineStr">
        <is>
          <t>PUBLIC</t>
        </is>
      </c>
      <c r="F236" s="6" t="inlineStr">
        <is>
          <t>JH corpus CW vector strings</t>
        </is>
      </c>
    </row>
    <row r="237">
      <c r="A237" s="7" t="inlineStr">
        <is>
          <t>r7_cw</t>
        </is>
      </c>
      <c r="B237" s="7" t="inlineStr">
        <is>
          <t>R7-CW-DECODER-HEADER2_PLUS_3X12</t>
        </is>
      </c>
      <c r="C237" s="7" t="inlineStr">
        <is>
          <t>frozen_decoder</t>
        </is>
      </c>
      <c r="D237" s="7" t="inlineStr">
        <is>
          <t>DERIVED_ARITHMETIC</t>
        </is>
      </c>
      <c r="E237" s="7" t="inlineStr">
        <is>
          <t>PUBLIC</t>
        </is>
      </c>
      <c r="F237" s="7" t="inlineStr">
        <is>
          <t>r7.cw.FROZEN_DECODERS</t>
        </is>
      </c>
    </row>
    <row r="238">
      <c r="A238" s="7" t="inlineStr">
        <is>
          <t>r7_cw</t>
        </is>
      </c>
      <c r="B238" s="7" t="inlineStr">
        <is>
          <t>R7-CW-DECODER-HEADER2_PLUS_6X6</t>
        </is>
      </c>
      <c r="C238" s="7" t="inlineStr">
        <is>
          <t>frozen_decoder</t>
        </is>
      </c>
      <c r="D238" s="7" t="inlineStr">
        <is>
          <t>DERIVED_ARITHMETIC</t>
        </is>
      </c>
      <c r="E238" s="7" t="inlineStr">
        <is>
          <t>PUBLIC</t>
        </is>
      </c>
      <c r="F238" s="7" t="inlineStr">
        <is>
          <t>r7.cw.FROZEN_DECODERS</t>
        </is>
      </c>
    </row>
    <row r="239">
      <c r="A239" s="7" t="inlineStr">
        <is>
          <t>r7_gravity</t>
        </is>
      </c>
      <c r="B239" s="7" t="inlineStr">
        <is>
          <t>R7-GRAVITY-HANDHELD_CRYSTAL</t>
        </is>
      </c>
      <c r="C239" s="7" t="inlineStr">
        <is>
          <t>gravity_arithmetic</t>
        </is>
      </c>
      <c r="D239" s="7" t="inlineStr">
        <is>
          <t>DERIVED_ARITHMETIC</t>
        </is>
      </c>
      <c r="E239" s="7" t="inlineStr">
        <is>
          <t>PUBLIC</t>
        </is>
      </c>
      <c r="F239" s="7" t="inlineStr">
        <is>
          <t>r7.gravity.assess</t>
        </is>
      </c>
    </row>
    <row r="240">
      <c r="A240" s="7" t="inlineStr">
        <is>
          <t>r7_gravity</t>
        </is>
      </c>
      <c r="B240" s="7" t="inlineStr">
        <is>
          <t>R7-GRAVITY-BENCH_COIL_DRIVE</t>
        </is>
      </c>
      <c r="C240" s="7" t="inlineStr">
        <is>
          <t>gravity_arithmetic</t>
        </is>
      </c>
      <c r="D240" s="7" t="inlineStr">
        <is>
          <t>DERIVED_ARITHMETIC</t>
        </is>
      </c>
      <c r="E240" s="7" t="inlineStr">
        <is>
          <t>PUBLIC</t>
        </is>
      </c>
      <c r="F240" s="7" t="inlineStr">
        <is>
          <t>r7.gravity.assess</t>
        </is>
      </c>
    </row>
    <row r="241">
      <c r="A241" s="7" t="inlineStr">
        <is>
          <t>r7_gravity</t>
        </is>
      </c>
      <c r="B241" s="7" t="inlineStr">
        <is>
          <t>R7-GRAVITY-HIGH_POWER_PULSE</t>
        </is>
      </c>
      <c r="C241" s="7" t="inlineStr">
        <is>
          <t>gravity_arithmetic</t>
        </is>
      </c>
      <c r="D241" s="7" t="inlineStr">
        <is>
          <t>DERIVED_ARITHMETIC</t>
        </is>
      </c>
      <c r="E241" s="7" t="inlineStr">
        <is>
          <t>PUBLIC</t>
        </is>
      </c>
      <c r="F241" s="7" t="inlineStr">
        <is>
          <t>r7.gravity.assess</t>
        </is>
      </c>
    </row>
    <row r="242">
      <c r="A242" s="7" t="inlineStr">
        <is>
          <t>r7_gravity</t>
        </is>
      </c>
      <c r="B242" s="7" t="inlineStr">
        <is>
          <t>R7-GRAVITY-ABSURD_UPPER_BOUND</t>
        </is>
      </c>
      <c r="C242" s="7" t="inlineStr">
        <is>
          <t>gravity_arithmetic</t>
        </is>
      </c>
      <c r="D242" s="7" t="inlineStr">
        <is>
          <t>DERIVED_ARITHMETIC</t>
        </is>
      </c>
      <c r="E242" s="7" t="inlineStr">
        <is>
          <t>PUBLIC</t>
        </is>
      </c>
      <c r="F242" s="7" t="inlineStr">
        <is>
          <t>r7.gravity.assess</t>
        </is>
      </c>
    </row>
    <row r="243">
      <c r="A243" s="7" t="inlineStr">
        <is>
          <t>r7_gravity</t>
        </is>
      </c>
      <c r="B243" s="7" t="inlineStr">
        <is>
          <t>R7-GRAVITY-VERDICT</t>
        </is>
      </c>
      <c r="C243" s="7" t="inlineStr">
        <is>
          <t>gravity_verdict</t>
        </is>
      </c>
      <c r="D243" s="7" t="inlineStr">
        <is>
          <t>DERIVED_ARITHMETIC</t>
        </is>
      </c>
      <c r="E243" s="7" t="inlineStr">
        <is>
          <t>PUBLIC</t>
        </is>
      </c>
      <c r="F243" s="7" t="inlineStr">
        <is>
          <t>r7.gravity.full_assessment</t>
        </is>
      </c>
    </row>
    <row r="244">
      <c r="A244" s="7" t="inlineStr">
        <is>
          <t>r7_clocklink</t>
        </is>
      </c>
      <c r="B244" s="7" t="inlineStr">
        <is>
          <t>R7-CLOCK-QUARTZ_XO-COAX_SHORT</t>
        </is>
      </c>
      <c r="C244" s="7" t="inlineStr">
        <is>
          <t>height_resolution</t>
        </is>
      </c>
      <c r="D244" s="7" t="inlineStr">
        <is>
          <t>DERIVED_ARITHMETIC</t>
        </is>
      </c>
      <c r="E244" s="7" t="inlineStr">
        <is>
          <t>PUBLIC</t>
        </is>
      </c>
      <c r="F244" s="7" t="inlineStr">
        <is>
          <t>r7.clocklink.height_resolution</t>
        </is>
      </c>
    </row>
    <row r="245">
      <c r="A245" s="7" t="inlineStr">
        <is>
          <t>r7_clocklink</t>
        </is>
      </c>
      <c r="B245" s="7" t="inlineStr">
        <is>
          <t>R7-CLOCK-QUARTZ_XO-FIBRE_STABILIZED</t>
        </is>
      </c>
      <c r="C245" s="7" t="inlineStr">
        <is>
          <t>height_resolution</t>
        </is>
      </c>
      <c r="D245" s="7" t="inlineStr">
        <is>
          <t>DERIVED_ARITHMETIC</t>
        </is>
      </c>
      <c r="E245" s="7" t="inlineStr">
        <is>
          <t>PUBLIC</t>
        </is>
      </c>
      <c r="F245" s="7" t="inlineStr">
        <is>
          <t>r7.clocklink.height_resolution</t>
        </is>
      </c>
    </row>
    <row r="246">
      <c r="A246" s="7" t="inlineStr">
        <is>
          <t>r7_clocklink</t>
        </is>
      </c>
      <c r="B246" s="7" t="inlineStr">
        <is>
          <t>R7-CLOCK-TCXO-COAX_SHORT</t>
        </is>
      </c>
      <c r="C246" s="7" t="inlineStr">
        <is>
          <t>height_resolution</t>
        </is>
      </c>
      <c r="D246" s="7" t="inlineStr">
        <is>
          <t>DERIVED_ARITHMETIC</t>
        </is>
      </c>
      <c r="E246" s="7" t="inlineStr">
        <is>
          <t>PUBLIC</t>
        </is>
      </c>
      <c r="F246" s="7" t="inlineStr">
        <is>
          <t>r7.clocklink.height_resolution</t>
        </is>
      </c>
    </row>
    <row r="247">
      <c r="A247" s="7" t="inlineStr">
        <is>
          <t>r7_clocklink</t>
        </is>
      </c>
      <c r="B247" s="7" t="inlineStr">
        <is>
          <t>R7-CLOCK-TCXO-FIBRE_STABILIZED</t>
        </is>
      </c>
      <c r="C247" s="7" t="inlineStr">
        <is>
          <t>height_resolution</t>
        </is>
      </c>
      <c r="D247" s="7" t="inlineStr">
        <is>
          <t>DERIVED_ARITHMETIC</t>
        </is>
      </c>
      <c r="E247" s="7" t="inlineStr">
        <is>
          <t>PUBLIC</t>
        </is>
      </c>
      <c r="F247" s="7" t="inlineStr">
        <is>
          <t>r7.clocklink.height_resolution</t>
        </is>
      </c>
    </row>
    <row r="248">
      <c r="A248" s="7" t="inlineStr">
        <is>
          <t>r7_clocklink</t>
        </is>
      </c>
      <c r="B248" s="7" t="inlineStr">
        <is>
          <t>R7-CLOCK-OCXO-COAX_SHORT</t>
        </is>
      </c>
      <c r="C248" s="7" t="inlineStr">
        <is>
          <t>height_resolution</t>
        </is>
      </c>
      <c r="D248" s="7" t="inlineStr">
        <is>
          <t>DERIVED_ARITHMETIC</t>
        </is>
      </c>
      <c r="E248" s="7" t="inlineStr">
        <is>
          <t>PUBLIC</t>
        </is>
      </c>
      <c r="F248" s="7" t="inlineStr">
        <is>
          <t>r7.clocklink.height_resolution</t>
        </is>
      </c>
    </row>
    <row r="249">
      <c r="A249" s="7" t="inlineStr">
        <is>
          <t>r7_clocklink</t>
        </is>
      </c>
      <c r="B249" s="7" t="inlineStr">
        <is>
          <t>R7-CLOCK-OCXO-FIBRE_STABILIZED</t>
        </is>
      </c>
      <c r="C249" s="7" t="inlineStr">
        <is>
          <t>height_resolution</t>
        </is>
      </c>
      <c r="D249" s="7" t="inlineStr">
        <is>
          <t>DERIVED_ARITHMETIC</t>
        </is>
      </c>
      <c r="E249" s="7" t="inlineStr">
        <is>
          <t>PUBLIC</t>
        </is>
      </c>
      <c r="F249" s="7" t="inlineStr">
        <is>
          <t>r7.clocklink.height_resolution</t>
        </is>
      </c>
    </row>
    <row r="250">
      <c r="A250" s="7" t="inlineStr">
        <is>
          <t>r7_clocklink</t>
        </is>
      </c>
      <c r="B250" s="7" t="inlineStr">
        <is>
          <t>R7-CLOCK-RUBIDIUM-COAX_SHORT</t>
        </is>
      </c>
      <c r="C250" s="7" t="inlineStr">
        <is>
          <t>height_resolution</t>
        </is>
      </c>
      <c r="D250" s="7" t="inlineStr">
        <is>
          <t>DERIVED_ARITHMETIC</t>
        </is>
      </c>
      <c r="E250" s="7" t="inlineStr">
        <is>
          <t>PUBLIC</t>
        </is>
      </c>
      <c r="F250" s="7" t="inlineStr">
        <is>
          <t>r7.clocklink.height_resolution</t>
        </is>
      </c>
    </row>
    <row r="251">
      <c r="A251" s="7" t="inlineStr">
        <is>
          <t>r7_clocklink</t>
        </is>
      </c>
      <c r="B251" s="7" t="inlineStr">
        <is>
          <t>R7-CLOCK-RUBIDIUM-FIBRE_STABILIZED</t>
        </is>
      </c>
      <c r="C251" s="7" t="inlineStr">
        <is>
          <t>height_resolution</t>
        </is>
      </c>
      <c r="D251" s="7" t="inlineStr">
        <is>
          <t>DERIVED_ARITHMETIC</t>
        </is>
      </c>
      <c r="E251" s="7" t="inlineStr">
        <is>
          <t>PUBLIC</t>
        </is>
      </c>
      <c r="F251" s="7" t="inlineStr">
        <is>
          <t>r7.clocklink.height_resolution</t>
        </is>
      </c>
    </row>
    <row r="252">
      <c r="A252" s="7" t="inlineStr">
        <is>
          <t>r7_clocklink</t>
        </is>
      </c>
      <c r="B252" s="7" t="inlineStr">
        <is>
          <t>R7-CLOCK-GPSDO-COAX_SHORT</t>
        </is>
      </c>
      <c r="C252" s="7" t="inlineStr">
        <is>
          <t>height_resolution</t>
        </is>
      </c>
      <c r="D252" s="7" t="inlineStr">
        <is>
          <t>DERIVED_ARITHMETIC</t>
        </is>
      </c>
      <c r="E252" s="7" t="inlineStr">
        <is>
          <t>PUBLIC</t>
        </is>
      </c>
      <c r="F252" s="7" t="inlineStr">
        <is>
          <t>r7.clocklink.height_resolution</t>
        </is>
      </c>
    </row>
    <row r="253">
      <c r="A253" s="7" t="inlineStr">
        <is>
          <t>r7_clocklink</t>
        </is>
      </c>
      <c r="B253" s="7" t="inlineStr">
        <is>
          <t>R7-CLOCK-GPSDO-FIBRE_STABILIZED</t>
        </is>
      </c>
      <c r="C253" s="7" t="inlineStr">
        <is>
          <t>height_resolution</t>
        </is>
      </c>
      <c r="D253" s="7" t="inlineStr">
        <is>
          <t>DERIVED_ARITHMETIC</t>
        </is>
      </c>
      <c r="E253" s="7" t="inlineStr">
        <is>
          <t>PUBLIC</t>
        </is>
      </c>
      <c r="F253" s="7" t="inlineStr">
        <is>
          <t>r7.clocklink.height_resolution</t>
        </is>
      </c>
    </row>
    <row r="254">
      <c r="A254" s="7" t="inlineStr">
        <is>
          <t>r7_clocklink</t>
        </is>
      </c>
      <c r="B254" s="7" t="inlineStr">
        <is>
          <t>R7-CLOCK-CAESIUM-COAX_SHORT</t>
        </is>
      </c>
      <c r="C254" s="7" t="inlineStr">
        <is>
          <t>height_resolution</t>
        </is>
      </c>
      <c r="D254" s="7" t="inlineStr">
        <is>
          <t>DERIVED_ARITHMETIC</t>
        </is>
      </c>
      <c r="E254" s="7" t="inlineStr">
        <is>
          <t>PUBLIC</t>
        </is>
      </c>
      <c r="F254" s="7" t="inlineStr">
        <is>
          <t>r7.clocklink.height_resolution</t>
        </is>
      </c>
    </row>
    <row r="255">
      <c r="A255" s="7" t="inlineStr">
        <is>
          <t>r7_clocklink</t>
        </is>
      </c>
      <c r="B255" s="7" t="inlineStr">
        <is>
          <t>R7-CLOCK-CAESIUM-FIBRE_STABILIZED</t>
        </is>
      </c>
      <c r="C255" s="7" t="inlineStr">
        <is>
          <t>height_resolution</t>
        </is>
      </c>
      <c r="D255" s="7" t="inlineStr">
        <is>
          <t>DERIVED_ARITHMETIC</t>
        </is>
      </c>
      <c r="E255" s="7" t="inlineStr">
        <is>
          <t>PUBLIC</t>
        </is>
      </c>
      <c r="F255" s="7" t="inlineStr">
        <is>
          <t>r7.clocklink.height_resolution</t>
        </is>
      </c>
    </row>
    <row r="256">
      <c r="A256" s="7" t="inlineStr">
        <is>
          <t>r7_clocklink</t>
        </is>
      </c>
      <c r="B256" s="7" t="inlineStr">
        <is>
          <t>R7-CLOCK-HYDROGEN_MASER-COAX_SHORT</t>
        </is>
      </c>
      <c r="C256" s="7" t="inlineStr">
        <is>
          <t>height_resolution</t>
        </is>
      </c>
      <c r="D256" s="7" t="inlineStr">
        <is>
          <t>DERIVED_ARITHMETIC</t>
        </is>
      </c>
      <c r="E256" s="7" t="inlineStr">
        <is>
          <t>PUBLIC</t>
        </is>
      </c>
      <c r="F256" s="7" t="inlineStr">
        <is>
          <t>r7.clocklink.height_resolution</t>
        </is>
      </c>
    </row>
    <row r="257">
      <c r="A257" s="7" t="inlineStr">
        <is>
          <t>r7_clocklink</t>
        </is>
      </c>
      <c r="B257" s="7" t="inlineStr">
        <is>
          <t>R7-CLOCK-HYDROGEN_MASER-FIBRE_STABILIZED</t>
        </is>
      </c>
      <c r="C257" s="7" t="inlineStr">
        <is>
          <t>height_resolution</t>
        </is>
      </c>
      <c r="D257" s="7" t="inlineStr">
        <is>
          <t>DERIVED_ARITHMETIC</t>
        </is>
      </c>
      <c r="E257" s="7" t="inlineStr">
        <is>
          <t>PUBLIC</t>
        </is>
      </c>
      <c r="F257" s="7" t="inlineStr">
        <is>
          <t>r7.clocklink.height_resolution</t>
        </is>
      </c>
    </row>
    <row r="258">
      <c r="A258" s="7" t="inlineStr">
        <is>
          <t>r7_clocklink</t>
        </is>
      </c>
      <c r="B258" s="7" t="inlineStr">
        <is>
          <t>R7-CLOCK-OPTICAL-COAX_SHORT</t>
        </is>
      </c>
      <c r="C258" s="7" t="inlineStr">
        <is>
          <t>height_resolution</t>
        </is>
      </c>
      <c r="D258" s="7" t="inlineStr">
        <is>
          <t>DERIVED_ARITHMETIC</t>
        </is>
      </c>
      <c r="E258" s="7" t="inlineStr">
        <is>
          <t>PUBLIC</t>
        </is>
      </c>
      <c r="F258" s="7" t="inlineStr">
        <is>
          <t>r7.clocklink.height_resolution</t>
        </is>
      </c>
    </row>
    <row r="259">
      <c r="A259" s="7" t="inlineStr">
        <is>
          <t>r7_clocklink</t>
        </is>
      </c>
      <c r="B259" s="7" t="inlineStr">
        <is>
          <t>R7-CLOCK-OPTICAL-FIBRE_STABILIZED</t>
        </is>
      </c>
      <c r="C259" s="7" t="inlineStr">
        <is>
          <t>height_resolution</t>
        </is>
      </c>
      <c r="D259" s="7" t="inlineStr">
        <is>
          <t>DERIVED_ARITHMETIC</t>
        </is>
      </c>
      <c r="E259" s="7" t="inlineStr">
        <is>
          <t>PUBLIC</t>
        </is>
      </c>
      <c r="F259" s="7" t="inlineStr">
        <is>
          <t>r7.clocklink.height_resolution</t>
        </is>
      </c>
    </row>
    <row r="260">
      <c r="A260" s="7" t="inlineStr">
        <is>
          <t>r7_clocklink</t>
        </is>
      </c>
      <c r="B260" s="7" t="inlineStr">
        <is>
          <t>R7-CLOCK-CEILING</t>
        </is>
      </c>
      <c r="C260" s="7" t="inlineStr">
        <is>
          <t>claim_ceiling</t>
        </is>
      </c>
      <c r="D260" s="7" t="inlineStr">
        <is>
          <t>DERIVED_ARITHMETIC</t>
        </is>
      </c>
      <c r="E260" s="7" t="inlineStr">
        <is>
          <t>PUBLIC</t>
        </is>
      </c>
      <c r="F260" s="7" t="inlineStr">
        <is>
          <t>r7.clocklink.ceiling_report</t>
        </is>
      </c>
    </row>
    <row r="261">
      <c r="A261" s="7" t="inlineStr">
        <is>
          <t>r7_governance</t>
        </is>
      </c>
      <c r="B261" s="7" t="inlineStr">
        <is>
          <t>R7-PUBLICATION-DECISION</t>
        </is>
      </c>
      <c r="C261" s="7" t="inlineStr">
        <is>
          <t>publication_decision</t>
        </is>
      </c>
      <c r="D261" s="7" t="inlineStr">
        <is>
          <t>DERIVED_ARITHMETIC</t>
        </is>
      </c>
      <c r="E261" s="7" t="inlineStr">
        <is>
          <t>PUBLIC</t>
        </is>
      </c>
      <c r="F261" s="7" t="inlineStr">
        <is>
          <t>r7.legacy.authorize_publication</t>
        </is>
      </c>
    </row>
    <row r="262">
      <c r="A262" s="13" t="inlineStr">
        <is>
          <t>r7_governance</t>
        </is>
      </c>
      <c r="B262" s="13" t="inlineStr">
        <is>
          <t>R7-COMMIT-IS-NOT-A-FILING</t>
        </is>
      </c>
      <c r="C262" s="13" t="inlineStr">
        <is>
          <t>legal_boundary</t>
        </is>
      </c>
      <c r="D262" s="13" t="inlineStr">
        <is>
          <t>UNSUPPORTED</t>
        </is>
      </c>
      <c r="E262" s="13" t="inlineStr">
        <is>
          <t>PUBLIC</t>
        </is>
      </c>
      <c r="F262" s="13" t="inlineStr">
        <is>
          <t>r7.legacy.commit_is_not_a_filing</t>
        </is>
      </c>
    </row>
    <row r="263">
      <c r="A263" s="7" t="inlineStr">
        <is>
          <t>r7_governance</t>
        </is>
      </c>
      <c r="B263" s="7" t="inlineStr">
        <is>
          <t>R7-PATH-FILE_THEN_PUBLISH</t>
        </is>
      </c>
      <c r="C263" s="7" t="inlineStr">
        <is>
          <t>publication_path</t>
        </is>
      </c>
      <c r="D263" s="7" t="inlineStr">
        <is>
          <t>DERIVED_ARITHMETIC</t>
        </is>
      </c>
      <c r="E263" s="7" t="inlineStr">
        <is>
          <t>PUBLIC</t>
        </is>
      </c>
      <c r="F263" s="7" t="inlineStr">
        <is>
          <t>r7.legacy.path_comparison</t>
        </is>
      </c>
    </row>
    <row r="264">
      <c r="A264" s="7" t="inlineStr">
        <is>
          <t>r7_governance</t>
        </is>
      </c>
      <c r="B264" s="7" t="inlineStr">
        <is>
          <t>R7-PATH-DEFENSIVE_PUBLICATION</t>
        </is>
      </c>
      <c r="C264" s="7" t="inlineStr">
        <is>
          <t>publication_path</t>
        </is>
      </c>
      <c r="D264" s="7" t="inlineStr">
        <is>
          <t>DERIVED_ARITHMETIC</t>
        </is>
      </c>
      <c r="E264" s="7" t="inlineStr">
        <is>
          <t>PUBLIC</t>
        </is>
      </c>
      <c r="F264" s="7" t="inlineStr">
        <is>
          <t>r7.legacy.path_comparison</t>
        </is>
      </c>
    </row>
    <row r="265">
      <c r="A265" s="7" t="inlineStr">
        <is>
          <t>r7_governance</t>
        </is>
      </c>
      <c r="B265" s="7" t="inlineStr">
        <is>
          <t>R7-PATH-PRIVATE_RC</t>
        </is>
      </c>
      <c r="C265" s="7" t="inlineStr">
        <is>
          <t>publication_path</t>
        </is>
      </c>
      <c r="D265" s="7" t="inlineStr">
        <is>
          <t>DERIVED_ARITHMETIC</t>
        </is>
      </c>
      <c r="E265" s="7" t="inlineStr">
        <is>
          <t>PUBLIC</t>
        </is>
      </c>
      <c r="F265" s="7" t="inlineStr">
        <is>
          <t>r7.legacy.path_comparison</t>
        </is>
      </c>
    </row>
    <row r="266">
      <c r="A266" s="6" t="inlineStr">
        <is>
          <t>source_registry</t>
        </is>
      </c>
      <c r="B266" s="6" t="inlineStr">
        <is>
          <t>SRC-V4X2-01</t>
        </is>
      </c>
      <c r="C266" s="6" t="inlineStr">
        <is>
          <t>source</t>
        </is>
      </c>
      <c r="D266" s="6" t="inlineStr">
        <is>
          <t>SOURCE_CLAIM</t>
        </is>
      </c>
      <c r="E266" s="6" t="inlineStr">
        <is>
          <t>PUBLIC</t>
        </is>
      </c>
      <c r="F266" s="6" t="inlineStr">
        <is>
          <t>local hash 019435a03b3c5e9d</t>
        </is>
      </c>
    </row>
    <row r="267">
      <c r="A267" s="6" t="inlineStr">
        <is>
          <t>source_registry</t>
        </is>
      </c>
      <c r="B267" s="6" t="inlineStr">
        <is>
          <t>SRC-V4X2-02</t>
        </is>
      </c>
      <c r="C267" s="6" t="inlineStr">
        <is>
          <t>source</t>
        </is>
      </c>
      <c r="D267" s="6" t="inlineStr">
        <is>
          <t>SOURCE_CLAIM</t>
        </is>
      </c>
      <c r="E267" s="6" t="inlineStr">
        <is>
          <t>PUBLIC</t>
        </is>
      </c>
      <c r="F267" s="6" t="inlineStr">
        <is>
          <t>local hash 7e1df086615c6bac</t>
        </is>
      </c>
    </row>
    <row r="268">
      <c r="A268" s="6" t="inlineStr">
        <is>
          <t>source_registry</t>
        </is>
      </c>
      <c r="B268" s="6" t="inlineStr">
        <is>
          <t>SRC-V4X2-03</t>
        </is>
      </c>
      <c r="C268" s="6" t="inlineStr">
        <is>
          <t>source</t>
        </is>
      </c>
      <c r="D268" s="6" t="inlineStr">
        <is>
          <t>SOURCE_CLAIM</t>
        </is>
      </c>
      <c r="E268" s="6" t="inlineStr">
        <is>
          <t>PUBLIC</t>
        </is>
      </c>
      <c r="F268" s="6" t="inlineStr">
        <is>
          <t>local hash b8e387558cb0a0f0</t>
        </is>
      </c>
    </row>
    <row r="269">
      <c r="A269" s="6" t="inlineStr">
        <is>
          <t>source_registry</t>
        </is>
      </c>
      <c r="B269" s="6" t="inlineStr">
        <is>
          <t>SRC-V4X2-04</t>
        </is>
      </c>
      <c r="C269" s="6" t="inlineStr">
        <is>
          <t>source</t>
        </is>
      </c>
      <c r="D269" s="6" t="inlineStr">
        <is>
          <t>SOURCE_CLAIM</t>
        </is>
      </c>
      <c r="E269" s="6" t="inlineStr">
        <is>
          <t>PUBLIC</t>
        </is>
      </c>
      <c r="F269" s="6" t="inlineStr">
        <is>
          <t>local hash 473ab08fd766fe38</t>
        </is>
      </c>
    </row>
    <row r="270">
      <c r="A270" s="6" t="inlineStr">
        <is>
          <t>source_registry</t>
        </is>
      </c>
      <c r="B270" s="6" t="inlineStr">
        <is>
          <t>SRC-V4X2-05</t>
        </is>
      </c>
      <c r="C270" s="6" t="inlineStr">
        <is>
          <t>source</t>
        </is>
      </c>
      <c r="D270" s="6" t="inlineStr">
        <is>
          <t>SOURCE_CLAIM</t>
        </is>
      </c>
      <c r="E270" s="6" t="inlineStr">
        <is>
          <t>PUBLIC</t>
        </is>
      </c>
      <c r="F270" s="6" t="inlineStr">
        <is>
          <t>local hash 32f952347682a67e</t>
        </is>
      </c>
    </row>
    <row r="271">
      <c r="A271" s="5" t="inlineStr">
        <is>
          <t>lore_registry</t>
        </is>
      </c>
      <c r="B271" s="5" t="inlineStr">
        <is>
          <t>LORE-POLICY</t>
        </is>
      </c>
      <c r="C271" s="5" t="inlineStr">
        <is>
          <t>lore_policy</t>
        </is>
      </c>
      <c r="D271" s="5" t="inlineStr">
        <is>
          <t>LORE</t>
        </is>
      </c>
      <c r="E271" s="5" t="inlineStr">
        <is>
          <t>PUBLIC_SAFE</t>
        </is>
      </c>
      <c r="F271" s="5" t="inlineStr">
        <is>
          <t>docs/v4/resonator/LORE_AND_INTUITION_POLICY.md</t>
        </is>
      </c>
    </row>
    <row r="272">
      <c r="A272" s="7" t="inlineStr">
        <is>
          <t>installer_metadata</t>
        </is>
      </c>
      <c r="B272" s="7" t="inlineStr">
        <is>
          <t>REL-v4.5.0</t>
        </is>
      </c>
      <c r="C272" s="7" t="inlineStr">
        <is>
          <t>release_metadata</t>
        </is>
      </c>
      <c r="D272" s="7" t="inlineStr">
        <is>
          <t>DERIVED_ARITHMETIC</t>
        </is>
      </c>
      <c r="E272" s="7" t="inlineStr">
        <is>
          <t>PUBLIC</t>
        </is>
      </c>
      <c r="F272" s="7" t="inlineStr">
        <is>
          <t>pyproject.toml + build</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22" customWidth="1" min="3" max="3"/>
    <col width="15" customWidth="1" min="4" max="4"/>
    <col width="46" customWidth="1" min="5" max="5"/>
    <col width="26" customWidth="1" min="6" max="6"/>
    <col width="26" customWidth="1" min="7" max="7"/>
    <col width="15" customWidth="1" min="8" max="8"/>
    <col width="14" customWidth="1" min="9" max="9"/>
    <col width="41" customWidth="1" min="10" max="10"/>
    <col width="60" customWidth="1" min="11" max="11"/>
    <col width="12" customWidth="1" min="12" max="12"/>
  </cols>
  <sheetData>
    <row r="1">
      <c r="A1" s="27" t="inlineStr">
        <is>
          <t>id</t>
        </is>
      </c>
      <c r="B1" s="27" t="inlineStr">
        <is>
          <t>kind</t>
        </is>
      </c>
      <c r="C1" s="27" t="inlineStr">
        <is>
          <t>evidence_class</t>
        </is>
      </c>
      <c r="D1" s="27" t="inlineStr">
        <is>
          <t>privacy_class</t>
        </is>
      </c>
      <c r="E1" s="27" t="inlineStr">
        <is>
          <t>provenance</t>
        </is>
      </c>
      <c r="F1" s="27" t="inlineStr">
        <is>
          <t>candidate_mm</t>
        </is>
      </c>
      <c r="G1" s="27" t="inlineStr">
        <is>
          <t>station_mm</t>
        </is>
      </c>
      <c r="H1" s="27" t="inlineStr">
        <is>
          <t>separation_mm</t>
        </is>
      </c>
      <c r="I1" s="27" t="inlineStr">
        <is>
          <t>halfwidth_mm</t>
        </is>
      </c>
      <c r="J1" s="27" t="inlineStr">
        <is>
          <t>status</t>
        </is>
      </c>
      <c r="K1" s="27" t="inlineStr">
        <is>
          <t>note</t>
        </is>
      </c>
      <c r="L1" s="27" t="inlineStr">
        <is>
          <t>spacing_mm</t>
        </is>
      </c>
    </row>
    <row r="2">
      <c r="A2" s="9" t="inlineStr">
        <is>
          <t>EYE-V41-CANONICAL</t>
        </is>
      </c>
      <c r="B2" s="9" t="inlineStr">
        <is>
          <t>eye_record</t>
        </is>
      </c>
      <c r="C2" s="9" t="inlineStr">
        <is>
          <t>NUMERICAL_SIMULATION</t>
        </is>
      </c>
      <c r="D2" s="9" t="inlineStr">
        <is>
          <t>PUBLIC</t>
        </is>
      </c>
      <c r="E2" s="9" t="inlineStr">
        <is>
          <t>rscs2_core.eye_ladder_analysis.CANONICAL_V41</t>
        </is>
      </c>
      <c r="F2" s="9" t="inlineStr">
        <is>
          <t>(-0.295, -0.205, 102.24)</t>
        </is>
      </c>
      <c r="G2" s="9" t="inlineStr">
        <is>
          <t>(-0.447, 0.774, 106.018)</t>
        </is>
      </c>
      <c r="H2" s="9" t="n">
        <v>3.906</v>
      </c>
      <c r="I2" s="9" t="n">
        <v>3.08</v>
      </c>
      <c r="J2" s="9" t="inlineStr">
        <is>
          <t>resolution-limited; preserved unchanged</t>
        </is>
      </c>
      <c r="K2" s="9" t="inlineStr">
        <is>
          <t>computational, idealized model; the physical Eye hypothesis is UNTESTED</t>
        </is>
      </c>
      <c r="L2" s="9" t="n"/>
    </row>
    <row r="3">
      <c r="A3" s="9" t="inlineStr">
        <is>
          <t>EYE-V421-V5</t>
        </is>
      </c>
      <c r="B3" s="9" t="inlineStr">
        <is>
          <t>eye_record</t>
        </is>
      </c>
      <c r="C3" s="9" t="inlineStr">
        <is>
          <t>NUMERICAL_SIMULATION</t>
        </is>
      </c>
      <c r="D3" s="9" t="inlineStr">
        <is>
          <t>PUBLIC</t>
        </is>
      </c>
      <c r="E3" s="9" t="inlineStr">
        <is>
          <t>rscs2_core.eye_ladder_analysis.V421_LADDER</t>
        </is>
      </c>
      <c r="F3" s="9" t="inlineStr">
        <is>
          <t>(-0.048, -0.02, 99.783)</t>
        </is>
      </c>
      <c r="G3" s="9" t="n"/>
      <c r="H3" s="9" t="n">
        <v>6.2976</v>
      </c>
      <c r="I3" s="9" t="n">
        <v>1.8033</v>
      </c>
      <c r="J3" s="9" t="inlineStr">
        <is>
          <t>NEAR_CONVENTIONAL_NODE_BUT_DISTINCT</t>
        </is>
      </c>
      <c r="K3" s="9" t="inlineStr">
        <is>
          <t>finer ladder; one apex feature, two estimates (see EYE_CLAIM_CARD v4)</t>
        </is>
      </c>
      <c r="L3" s="9" t="n">
        <v>1.803</v>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23" customWidth="1" min="1" max="1"/>
    <col width="23" customWidth="1" min="2" max="2"/>
    <col width="16" customWidth="1" min="3" max="3"/>
    <col width="15" customWidth="1" min="4" max="4"/>
    <col width="50" customWidth="1" min="5" max="5"/>
    <col width="14" customWidth="1" min="6" max="6"/>
    <col width="11" customWidth="1" min="7" max="7"/>
    <col width="17" customWidth="1" min="8" max="8"/>
    <col width="10" customWidth="1" min="9" max="9"/>
    <col width="12" customWidth="1" min="10" max="10"/>
    <col width="11" customWidth="1" min="11" max="11"/>
    <col width="60" customWidth="1" min="12" max="12"/>
  </cols>
  <sheetData>
    <row r="1">
      <c r="A1" s="27" t="inlineStr">
        <is>
          <t>id</t>
        </is>
      </c>
      <c r="B1" s="27" t="inlineStr">
        <is>
          <t>kind</t>
        </is>
      </c>
      <c r="C1" s="27" t="inlineStr">
        <is>
          <t>evidence_class</t>
        </is>
      </c>
      <c r="D1" s="27" t="inlineStr">
        <is>
          <t>privacy_class</t>
        </is>
      </c>
      <c r="E1" s="27" t="inlineStr">
        <is>
          <t>provenance</t>
        </is>
      </c>
      <c r="F1" s="27" t="inlineStr">
        <is>
          <t>predicted_hz</t>
        </is>
      </c>
      <c r="G1" s="27" t="inlineStr">
        <is>
          <t>target_hz</t>
        </is>
      </c>
      <c r="H1" s="27" t="inlineStr">
        <is>
          <t>final_fitted_hz</t>
        </is>
      </c>
      <c r="I1" s="27" t="inlineStr">
        <is>
          <t>accepted</t>
        </is>
      </c>
      <c r="J1" s="27" t="inlineStr">
        <is>
          <t>iterations</t>
        </is>
      </c>
      <c r="K1" s="27" t="inlineStr">
        <is>
          <t>synthetic</t>
        </is>
      </c>
      <c r="L1" s="27" t="inlineStr">
        <is>
          <t>banner</t>
        </is>
      </c>
    </row>
    <row r="2">
      <c r="A2" s="10" t="inlineStr">
        <is>
          <t>SPECIMEN-40ba9443285a</t>
        </is>
      </c>
      <c r="B2" s="10" t="inlineStr">
        <is>
          <t>resonator_certificate</t>
        </is>
      </c>
      <c r="C2" s="10" t="inlineStr">
        <is>
          <t>SYNTHETIC_RUN</t>
        </is>
      </c>
      <c r="D2" s="10" t="inlineStr">
        <is>
          <t>PUBLIC</t>
        </is>
      </c>
      <c r="E2" s="10" t="inlineStr">
        <is>
          <t>resonator_platform.campaign.run_campaign(seed=7)</t>
        </is>
      </c>
      <c r="F2" s="10" t="n">
        <v>1030.149</v>
      </c>
      <c r="G2" s="10" t="n">
        <v>1036.149</v>
      </c>
      <c r="H2" s="10" t="n">
        <v>1035.04</v>
      </c>
      <c r="I2" s="10" t="b">
        <v>1</v>
      </c>
      <c r="J2" s="10" t="n">
        <v>2</v>
      </c>
      <c r="K2" s="10" t="b">
        <v>1</v>
      </c>
      <c r="L2" s="10" t="inlineStr">
        <is>
          <t>SYNTHETIC CERTIFICATE — no physical resonator exists; produc</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16" customWidth="1" min="3" max="3"/>
    <col width="15" customWidth="1" min="4" max="4"/>
    <col width="41" customWidth="1" min="5" max="5"/>
    <col width="17" customWidth="1" min="6" max="6"/>
    <col width="10" customWidth="1" min="7" max="7"/>
    <col width="23" customWidth="1" min="8" max="8"/>
    <col width="60" customWidth="1" min="9" max="9"/>
    <col width="41" customWidth="1" min="10" max="10"/>
    <col width="15" customWidth="1" min="11" max="11"/>
  </cols>
  <sheetData>
    <row r="1">
      <c r="A1" s="27" t="inlineStr">
        <is>
          <t>id</t>
        </is>
      </c>
      <c r="B1" s="27" t="inlineStr">
        <is>
          <t>kind</t>
        </is>
      </c>
      <c r="C1" s="27" t="inlineStr">
        <is>
          <t>evidence_class</t>
        </is>
      </c>
      <c r="D1" s="27" t="inlineStr">
        <is>
          <t>privacy_class</t>
        </is>
      </c>
      <c r="E1" s="27" t="inlineStr">
        <is>
          <t>provenance</t>
        </is>
      </c>
      <c r="F1" s="27" t="inlineStr">
        <is>
          <t>board</t>
        </is>
      </c>
      <c r="G1" s="27" t="inlineStr">
        <is>
          <t>verified</t>
        </is>
      </c>
      <c r="H1" s="27" t="inlineStr">
        <is>
          <t>candidate_output_pins</t>
        </is>
      </c>
      <c r="I1" s="27" t="inlineStr">
        <is>
          <t>note</t>
        </is>
      </c>
      <c r="J1" s="27" t="inlineStr">
        <is>
          <t>item</t>
        </is>
      </c>
      <c r="K1" s="27" t="inlineStr">
        <is>
          <t>status</t>
        </is>
      </c>
    </row>
    <row r="2">
      <c r="A2" s="6" t="inlineStr">
        <is>
          <t>HW-7248373726</t>
        </is>
      </c>
      <c r="B2" s="6" t="inlineStr">
        <is>
          <t>board_profile</t>
        </is>
      </c>
      <c r="C2" s="6" t="inlineStr">
        <is>
          <t>SOURCE_CLAIM</t>
        </is>
      </c>
      <c r="D2" s="6" t="inlineStr">
        <is>
          <t>PUBLIC</t>
        </is>
      </c>
      <c r="E2" s="6" t="inlineStr">
        <is>
          <t>fkey_instrument.boards (community docs)</t>
        </is>
      </c>
      <c r="F2" s="6" t="inlineStr">
        <is>
          <t>ESP32-2432S028R</t>
        </is>
      </c>
      <c r="G2" s="6" t="b">
        <v>0</v>
      </c>
      <c r="H2" s="6" t="inlineStr">
        <is>
          <t>[22, 27]</t>
        </is>
      </c>
      <c r="I2" s="6" t="inlineStr">
        <is>
          <t>candidate profile; verify via A14 self-test before naming an output pin</t>
        </is>
      </c>
      <c r="J2" s="6" t="n"/>
      <c r="K2" s="6" t="n"/>
    </row>
    <row r="3">
      <c r="A3" s="6" t="inlineStr">
        <is>
          <t>HW-fa5f7a76f7</t>
        </is>
      </c>
      <c r="B3" s="6" t="inlineStr">
        <is>
          <t>board_profile</t>
        </is>
      </c>
      <c r="C3" s="6" t="inlineStr">
        <is>
          <t>SOURCE_CLAIM</t>
        </is>
      </c>
      <c r="D3" s="6" t="inlineStr">
        <is>
          <t>PUBLIC</t>
        </is>
      </c>
      <c r="E3" s="6" t="inlineStr">
        <is>
          <t>fkey_instrument.boards (community docs)</t>
        </is>
      </c>
      <c r="F3" s="6" t="inlineStr">
        <is>
          <t>ESP32-2432S024C</t>
        </is>
      </c>
      <c r="G3" s="6" t="b">
        <v>0</v>
      </c>
      <c r="H3" s="6" t="inlineStr">
        <is>
          <t>[22, 21]</t>
        </is>
      </c>
      <c r="I3" s="6" t="inlineStr">
        <is>
          <t>candidate profile; verify via A14 self-test before naming an output pin</t>
        </is>
      </c>
      <c r="J3" s="6" t="n"/>
      <c r="K3" s="6" t="n"/>
    </row>
    <row r="4">
      <c r="A4" s="8" t="inlineStr">
        <is>
          <t>BOM-f90a86d0bb</t>
        </is>
      </c>
      <c r="B4" s="8" t="inlineStr">
        <is>
          <t>bom_item</t>
        </is>
      </c>
      <c r="C4" s="8" t="inlineStr">
        <is>
          <t>ANALYTIC_MODEL</t>
        </is>
      </c>
      <c r="D4" s="8" t="inlineStr">
        <is>
          <t>PUBLIC</t>
        </is>
      </c>
      <c r="E4" s="8" t="inlineStr">
        <is>
          <t>docs/v4/fkey/BOM_WIRING_GEN0.md</t>
        </is>
      </c>
      <c r="F4" s="8" t="n"/>
      <c r="G4" s="8" t="n"/>
      <c r="H4" s="8" t="n"/>
      <c r="I4" s="8" t="n"/>
      <c r="J4" s="8" t="inlineStr">
        <is>
          <t>ESP32-CYD board</t>
        </is>
      </c>
      <c r="K4" s="8" t="inlineStr">
        <is>
          <t>NOT_PURCHASED</t>
        </is>
      </c>
    </row>
    <row r="5">
      <c r="A5" s="8" t="inlineStr">
        <is>
          <t>BOM-9043ce0521</t>
        </is>
      </c>
      <c r="B5" s="8" t="inlineStr">
        <is>
          <t>bom_item</t>
        </is>
      </c>
      <c r="C5" s="8" t="inlineStr">
        <is>
          <t>ANALYTIC_MODEL</t>
        </is>
      </c>
      <c r="D5" s="8" t="inlineStr">
        <is>
          <t>PUBLIC</t>
        </is>
      </c>
      <c r="E5" s="8" t="inlineStr">
        <is>
          <t>docs/v4/fkey/BOM_WIRING_GEN0.md</t>
        </is>
      </c>
      <c r="F5" s="8" t="n"/>
      <c r="G5" s="8" t="n"/>
      <c r="H5" s="8" t="n"/>
      <c r="I5" s="8" t="n"/>
      <c r="J5" s="8" t="inlineStr">
        <is>
          <t>logic-level MOSFET (3.3V gate verified)</t>
        </is>
      </c>
      <c r="K5" s="8" t="inlineStr">
        <is>
          <t>NOT_PURCHASED</t>
        </is>
      </c>
    </row>
    <row r="6">
      <c r="A6" s="8" t="inlineStr">
        <is>
          <t>BOM-8cac66963e</t>
        </is>
      </c>
      <c r="B6" s="8" t="inlineStr">
        <is>
          <t>bom_item</t>
        </is>
      </c>
      <c r="C6" s="8" t="inlineStr">
        <is>
          <t>ANALYTIC_MODEL</t>
        </is>
      </c>
      <c r="D6" s="8" t="inlineStr">
        <is>
          <t>PUBLIC</t>
        </is>
      </c>
      <c r="E6" s="8" t="inlineStr">
        <is>
          <t>docs/v4/fkey/BOM_WIRING_GEN0.md</t>
        </is>
      </c>
      <c r="F6" s="8" t="n"/>
      <c r="G6" s="8" t="n"/>
      <c r="H6" s="8" t="n"/>
      <c r="I6" s="8" t="n"/>
      <c r="J6" s="8" t="inlineStr">
        <is>
          <t>piezo disc x2</t>
        </is>
      </c>
      <c r="K6" s="8" t="inlineStr">
        <is>
          <t>NOT_PURCHASED</t>
        </is>
      </c>
    </row>
    <row r="7">
      <c r="A7" s="8" t="inlineStr">
        <is>
          <t>BOM-80b329afeb</t>
        </is>
      </c>
      <c r="B7" s="8" t="inlineStr">
        <is>
          <t>bom_item</t>
        </is>
      </c>
      <c r="C7" s="8" t="inlineStr">
        <is>
          <t>ANALYTIC_MODEL</t>
        </is>
      </c>
      <c r="D7" s="8" t="inlineStr">
        <is>
          <t>PUBLIC</t>
        </is>
      </c>
      <c r="E7" s="8" t="inlineStr">
        <is>
          <t>docs/v4/fkey/BOM_WIRING_GEN0.md</t>
        </is>
      </c>
      <c r="F7" s="8" t="n"/>
      <c r="G7" s="8" t="n"/>
      <c r="H7" s="8" t="n"/>
      <c r="I7" s="8" t="n"/>
      <c r="J7" s="8" t="inlineStr">
        <is>
          <t>op-amp pickup front end</t>
        </is>
      </c>
      <c r="K7" s="8" t="inlineStr">
        <is>
          <t>NOT_PURCHASED</t>
        </is>
      </c>
    </row>
    <row r="8">
      <c r="A8" s="8" t="inlineStr">
        <is>
          <t>BOM-3d516ad5e5</t>
        </is>
      </c>
      <c r="B8" s="8" t="inlineStr">
        <is>
          <t>bom_item</t>
        </is>
      </c>
      <c r="C8" s="8" t="inlineStr">
        <is>
          <t>ANALYTIC_MODEL</t>
        </is>
      </c>
      <c r="D8" s="8" t="inlineStr">
        <is>
          <t>PUBLIC</t>
        </is>
      </c>
      <c r="E8" s="8" t="inlineStr">
        <is>
          <t>docs/v4/fkey/BOM_WIRING_GEN0.md</t>
        </is>
      </c>
      <c r="F8" s="8" t="n"/>
      <c r="G8" s="8" t="n"/>
      <c r="H8" s="8" t="n"/>
      <c r="I8" s="8" t="n"/>
      <c r="J8" s="8" t="inlineStr">
        <is>
          <t>DS18B20 temperature</t>
        </is>
      </c>
      <c r="K8" s="8" t="inlineStr">
        <is>
          <t>NOT_PURCHASED</t>
        </is>
      </c>
    </row>
    <row r="9">
      <c r="A9" s="8" t="inlineStr">
        <is>
          <t>BOM-6b5661d323</t>
        </is>
      </c>
      <c r="B9" s="8" t="inlineStr">
        <is>
          <t>bom_item</t>
        </is>
      </c>
      <c r="C9" s="8" t="inlineStr">
        <is>
          <t>ANALYTIC_MODEL</t>
        </is>
      </c>
      <c r="D9" s="8" t="inlineStr">
        <is>
          <t>PUBLIC</t>
        </is>
      </c>
      <c r="E9" s="8" t="inlineStr">
        <is>
          <t>docs/v4/fkey/BOM_WIRING_GEN0.md</t>
        </is>
      </c>
      <c r="F9" s="8" t="n"/>
      <c r="G9" s="8" t="n"/>
      <c r="H9" s="8" t="n"/>
      <c r="I9" s="8" t="n"/>
      <c r="J9" s="8" t="inlineStr">
        <is>
          <t>fused current-limited supply</t>
        </is>
      </c>
      <c r="K9" s="8" t="inlineStr">
        <is>
          <t>NOT_PURCHASED</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6" customWidth="1" min="3" max="3"/>
    <col width="15" customWidth="1" min="4" max="4"/>
    <col width="37" customWidth="1" min="5" max="5"/>
    <col width="10" customWidth="1" min="6" max="6"/>
    <col width="44" customWidth="1" min="7" max="7"/>
    <col width="34" customWidth="1" min="8" max="8"/>
  </cols>
  <sheetData>
    <row r="1">
      <c r="A1" s="27" t="inlineStr">
        <is>
          <t>id</t>
        </is>
      </c>
      <c r="B1" s="27" t="inlineStr">
        <is>
          <t>kind</t>
        </is>
      </c>
      <c r="C1" s="27" t="inlineStr">
        <is>
          <t>evidence_class</t>
        </is>
      </c>
      <c r="D1" s="27" t="inlineStr">
        <is>
          <t>privacy_class</t>
        </is>
      </c>
      <c r="E1" s="27" t="inlineStr">
        <is>
          <t>provenance</t>
        </is>
      </c>
      <c r="F1" s="27" t="inlineStr">
        <is>
          <t>order</t>
        </is>
      </c>
      <c r="G1" s="27" t="inlineStr">
        <is>
          <t>campaign</t>
        </is>
      </c>
      <c r="H1" s="27" t="inlineStr">
        <is>
          <t>status</t>
        </is>
      </c>
    </row>
    <row r="2">
      <c r="A2" s="8" t="inlineStr">
        <is>
          <t>EXP-cbf6cf30a5</t>
        </is>
      </c>
      <c r="B2" s="8" t="inlineStr">
        <is>
          <t>experiment</t>
        </is>
      </c>
      <c r="C2" s="8" t="inlineStr">
        <is>
          <t>ANALYTIC_MODEL</t>
        </is>
      </c>
      <c r="D2" s="8" t="inlineStr">
        <is>
          <t>PUBLIC</t>
        </is>
      </c>
      <c r="E2" s="8" t="inlineStr">
        <is>
          <t>fkey_instrument.optimizer.CAMPAIGNS</t>
        </is>
      </c>
      <c r="F2" s="8" t="n">
        <v>1</v>
      </c>
      <c r="G2" s="8" t="inlineStr">
        <is>
          <t>C1 instrument characterization</t>
        </is>
      </c>
      <c r="H2" s="8" t="inlineStr">
        <is>
          <t>PROTOCOL_READY_HARDWARE_REQUIRED</t>
        </is>
      </c>
    </row>
    <row r="3">
      <c r="A3" s="8" t="inlineStr">
        <is>
          <t>EXP-8057b26115</t>
        </is>
      </c>
      <c r="B3" s="8" t="inlineStr">
        <is>
          <t>experiment</t>
        </is>
      </c>
      <c r="C3" s="8" t="inlineStr">
        <is>
          <t>ANALYTIC_MODEL</t>
        </is>
      </c>
      <c r="D3" s="8" t="inlineStr">
        <is>
          <t>PUBLIC</t>
        </is>
      </c>
      <c r="E3" s="8" t="inlineStr">
        <is>
          <t>fkey_instrument.optimizer.CAMPAIGNS</t>
        </is>
      </c>
      <c r="F3" s="8" t="n">
        <v>2</v>
      </c>
      <c r="G3" s="8" t="inlineStr">
        <is>
          <t>C2 actuator and fixture characterization</t>
        </is>
      </c>
      <c r="H3" s="8" t="inlineStr">
        <is>
          <t>PROTOCOL_READY_HARDWARE_REQUIRED</t>
        </is>
      </c>
    </row>
    <row r="4">
      <c r="A4" s="8" t="inlineStr">
        <is>
          <t>EXP-605171148d</t>
        </is>
      </c>
      <c r="B4" s="8" t="inlineStr">
        <is>
          <t>experiment</t>
        </is>
      </c>
      <c r="C4" s="8" t="inlineStr">
        <is>
          <t>ANALYTIC_MODEL</t>
        </is>
      </c>
      <c r="D4" s="8" t="inlineStr">
        <is>
          <t>PUBLIC</t>
        </is>
      </c>
      <c r="E4" s="8" t="inlineStr">
        <is>
          <t>fkey_instrument.optimizer.CAMPAIGNS</t>
        </is>
      </c>
      <c r="F4" s="8" t="n">
        <v>3</v>
      </c>
      <c r="G4" s="8" t="inlineStr">
        <is>
          <t>C3 coarse resonance sweep</t>
        </is>
      </c>
      <c r="H4" s="8" t="inlineStr">
        <is>
          <t>PROTOCOL_READY_HARDWARE_REQUIRED</t>
        </is>
      </c>
    </row>
    <row r="5">
      <c r="A5" s="8" t="inlineStr">
        <is>
          <t>EXP-37d7772d76</t>
        </is>
      </c>
      <c r="B5" s="8" t="inlineStr">
        <is>
          <t>experiment</t>
        </is>
      </c>
      <c r="C5" s="8" t="inlineStr">
        <is>
          <t>ANALYTIC_MODEL</t>
        </is>
      </c>
      <c r="D5" s="8" t="inlineStr">
        <is>
          <t>PUBLIC</t>
        </is>
      </c>
      <c r="E5" s="8" t="inlineStr">
        <is>
          <t>fkey_instrument.optimizer.CAMPAIGNS</t>
        </is>
      </c>
      <c r="F5" s="8" t="n">
        <v>4</v>
      </c>
      <c r="G5" s="8" t="inlineStr">
        <is>
          <t>C4 fine sweep and Q estimate</t>
        </is>
      </c>
      <c r="H5" s="8" t="inlineStr">
        <is>
          <t>PROTOCOL_READY_HARDWARE_REQUIRED</t>
        </is>
      </c>
    </row>
    <row r="6">
      <c r="A6" s="8" t="inlineStr">
        <is>
          <t>EXP-81f4a97823</t>
        </is>
      </c>
      <c r="B6" s="8" t="inlineStr">
        <is>
          <t>experiment</t>
        </is>
      </c>
      <c r="C6" s="8" t="inlineStr">
        <is>
          <t>ANALYTIC_MODEL</t>
        </is>
      </c>
      <c r="D6" s="8" t="inlineStr">
        <is>
          <t>PUBLIC</t>
        </is>
      </c>
      <c r="E6" s="8" t="inlineStr">
        <is>
          <t>fkey_instrument.optimizer.CAMPAIGNS</t>
        </is>
      </c>
      <c r="F6" s="8" t="n">
        <v>5</v>
      </c>
      <c r="G6" s="8" t="inlineStr">
        <is>
          <t>C5 direct vs 4096-derived target component</t>
        </is>
      </c>
      <c r="H6" s="8" t="inlineStr">
        <is>
          <t>PROTOCOL_READY_HARDWARE_REQUIRED</t>
        </is>
      </c>
    </row>
    <row r="7">
      <c r="A7" s="8" t="inlineStr">
        <is>
          <t>EXP-88d1574e7d</t>
        </is>
      </c>
      <c r="B7" s="8" t="inlineStr">
        <is>
          <t>experiment</t>
        </is>
      </c>
      <c r="C7" s="8" t="inlineStr">
        <is>
          <t>ANALYTIC_MODEL</t>
        </is>
      </c>
      <c r="D7" s="8" t="inlineStr">
        <is>
          <t>PUBLIC</t>
        </is>
      </c>
      <c r="E7" s="8" t="inlineStr">
        <is>
          <t>fkey_instrument.optimizer.CAMPAIGNS</t>
        </is>
      </c>
      <c r="F7" s="8" t="n">
        <v>6</v>
      </c>
      <c r="G7" s="8" t="inlineStr">
        <is>
          <t>C6 support-loading study</t>
        </is>
      </c>
      <c r="H7" s="8" t="inlineStr">
        <is>
          <t>PROTOCOL_READY_HARDWARE_REQUIRED</t>
        </is>
      </c>
    </row>
    <row r="8">
      <c r="A8" s="8" t="inlineStr">
        <is>
          <t>EXP-1a93f49103</t>
        </is>
      </c>
      <c r="B8" s="8" t="inlineStr">
        <is>
          <t>experiment</t>
        </is>
      </c>
      <c r="C8" s="8" t="inlineStr">
        <is>
          <t>ANALYTIC_MODEL</t>
        </is>
      </c>
      <c r="D8" s="8" t="inlineStr">
        <is>
          <t>PUBLIC</t>
        </is>
      </c>
      <c r="E8" s="8" t="inlineStr">
        <is>
          <t>fkey_instrument.optimizer.CAMPAIGNS</t>
        </is>
      </c>
      <c r="F8" s="8" t="n">
        <v>7</v>
      </c>
      <c r="G8" s="8" t="inlineStr">
        <is>
          <t>C7 AM envelope comparison</t>
        </is>
      </c>
      <c r="H8" s="8" t="inlineStr">
        <is>
          <t>PROTOCOL_READY_HARDWARE_REQUIRED</t>
        </is>
      </c>
    </row>
    <row r="9">
      <c r="A9" s="8" t="inlineStr">
        <is>
          <t>EXP-fcb6bff5ab</t>
        </is>
      </c>
      <c r="B9" s="8" t="inlineStr">
        <is>
          <t>experiment</t>
        </is>
      </c>
      <c r="C9" s="8" t="inlineStr">
        <is>
          <t>ANALYTIC_MODEL</t>
        </is>
      </c>
      <c r="D9" s="8" t="inlineStr">
        <is>
          <t>PUBLIC</t>
        </is>
      </c>
      <c r="E9" s="8" t="inlineStr">
        <is>
          <t>fkey_instrument.optimizer.CAMPAIGNS</t>
        </is>
      </c>
      <c r="F9" s="8" t="n">
        <v>8</v>
      </c>
      <c r="G9" s="8" t="inlineStr">
        <is>
          <t>C8 high-order mixing null test</t>
        </is>
      </c>
      <c r="H9" s="8" t="inlineStr">
        <is>
          <t>PROTOCOL_READY_HARDWARE_REQUIRED</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20" customWidth="1" min="3" max="3"/>
    <col width="15" customWidth="1" min="4" max="4"/>
    <col width="60" customWidth="1" min="5" max="5"/>
    <col width="60" customWidth="1" min="6" max="6"/>
  </cols>
  <sheetData>
    <row r="1">
      <c r="A1" s="27" t="inlineStr">
        <is>
          <t>id</t>
        </is>
      </c>
      <c r="B1" s="27" t="inlineStr">
        <is>
          <t>kind</t>
        </is>
      </c>
      <c r="C1" s="27" t="inlineStr">
        <is>
          <t>evidence_class</t>
        </is>
      </c>
      <c r="D1" s="27" t="inlineStr">
        <is>
          <t>privacy_class</t>
        </is>
      </c>
      <c r="E1" s="27" t="inlineStr">
        <is>
          <t>provenance</t>
        </is>
      </c>
      <c r="F1" s="27" t="inlineStr">
        <is>
          <t>statement</t>
        </is>
      </c>
    </row>
    <row r="2">
      <c r="A2" s="7" t="inlineStr">
        <is>
          <t>FK-CORR-001</t>
        </is>
      </c>
      <c r="B2" s="7" t="inlineStr">
        <is>
          <t>correction</t>
        </is>
      </c>
      <c r="C2" s="7" t="inlineStr">
        <is>
          <t>DERIVED_ARITHMETIC</t>
        </is>
      </c>
      <c r="D2" s="7" t="inlineStr">
        <is>
          <t>PUBLIC</t>
        </is>
      </c>
      <c r="E2" s="7" t="inlineStr">
        <is>
          <t>fkey_instrument.crystal_mode.target_errors</t>
        </is>
      </c>
      <c r="F2" s="7" t="inlineStr">
        <is>
          <t>quarter-wave and half-wave percentage errors are ONE v/L ratio, not two agreements</t>
        </is>
      </c>
    </row>
    <row r="3">
      <c r="A3" s="7" t="inlineStr">
        <is>
          <t>V4X-D-005</t>
        </is>
      </c>
      <c r="B3" s="7" t="inlineStr">
        <is>
          <t>correction</t>
        </is>
      </c>
      <c r="C3" s="7" t="inlineStr">
        <is>
          <t>DERIVED_ARITHMETIC</t>
        </is>
      </c>
      <c r="D3" s="7" t="inlineStr">
        <is>
          <t>PUBLIC</t>
        </is>
      </c>
      <c r="E3" s="7" t="inlineStr">
        <is>
          <t>docs/v4/V4X_DEFECT_REGISTER.md</t>
        </is>
      </c>
      <c r="F3" s="7" t="inlineStr">
        <is>
          <t>cusp metric measured its own sampling density; arc-length weighting fixed it (10.576x, finite)</t>
        </is>
      </c>
    </row>
    <row r="4">
      <c r="A4" s="7" t="inlineStr">
        <is>
          <t>EYE-CARD-v4</t>
        </is>
      </c>
      <c r="B4" s="7" t="inlineStr">
        <is>
          <t>correction</t>
        </is>
      </c>
      <c r="C4" s="7" t="inlineStr">
        <is>
          <t>DERIVED_ARITHMETIC</t>
        </is>
      </c>
      <c r="D4" s="7" t="inlineStr">
        <is>
          <t>PUBLIC</t>
        </is>
      </c>
      <c r="E4" s="7" t="inlineStr">
        <is>
          <t>docs/v4/EYE_CLAIM_CARD.md</t>
        </is>
      </c>
      <c r="F4" s="7" t="inlineStr">
        <is>
          <t>v4.1 and v4.2.1 Eye coordinates are two resolution-dependent estimates of ONE apex feature</t>
        </is>
      </c>
    </row>
    <row r="5">
      <c r="A5" s="7" t="inlineStr">
        <is>
          <t>V4X-D-004</t>
        </is>
      </c>
      <c r="B5" s="7" t="inlineStr">
        <is>
          <t>correction</t>
        </is>
      </c>
      <c r="C5" s="7" t="inlineStr">
        <is>
          <t>DERIVED_ARITHMETIC</t>
        </is>
      </c>
      <c r="D5" s="7" t="inlineStr">
        <is>
          <t>PUBLIC</t>
        </is>
      </c>
      <c r="E5" s="7" t="inlineStr">
        <is>
          <t>docs/v4/V4X_DEFECT_REGISTER.md</t>
        </is>
      </c>
      <c r="F5" s="7" t="inlineStr">
        <is>
          <t>681-vs-682 test-count drift; counts now derive from a real run and are guard-verified</t>
        </is>
      </c>
    </row>
    <row r="6">
      <c r="A6" s="7" t="inlineStr">
        <is>
          <t>CSPC-CORR-001</t>
        </is>
      </c>
      <c r="B6" s="7" t="inlineStr">
        <is>
          <t>correction</t>
        </is>
      </c>
      <c r="C6" s="7" t="inlineStr">
        <is>
          <t>DERIVED_ARITHMETIC</t>
        </is>
      </c>
      <c r="D6" s="7" t="inlineStr">
        <is>
          <t>PUBLIC</t>
        </is>
      </c>
      <c r="E6" s="7" t="inlineStr">
        <is>
          <t>dielectric relaxation spectroscopy; ITU ISM band allocation</t>
        </is>
      </c>
      <c r="F6" s="7" t="inlineStr">
        <is>
          <t>water / 2.45 GHz: 2.45 GHz is NOT a unique fundamental resonance of water. It is an ISM band chosen for regulatory and engineering reasons. Liquid water's dielectric loss is broad and has no sharp resonance there; the Debye relaxation peak of bulk water at room temperature lies near ~20 GHz. Microwave ovens use 2.45 GHz for penetration depth and component economics, not because it is water's resonance.</t>
        </is>
      </c>
    </row>
    <row r="7">
      <c r="A7" s="7" t="inlineStr">
        <is>
          <t>CSPC-CORR-002</t>
        </is>
      </c>
      <c r="B7" s="7" t="inlineStr">
        <is>
          <t>correction</t>
        </is>
      </c>
      <c r="C7" s="7" t="inlineStr">
        <is>
          <t>DERIVED_ARITHMETIC</t>
        </is>
      </c>
      <c r="D7" s="7" t="inlineStr">
        <is>
          <t>PUBLIC</t>
        </is>
      </c>
      <c r="E7" s="7" t="inlineStr">
        <is>
          <t>cspc.exact.DDS_36BIT_LSB; dimensional audit (cspc.units)</t>
        </is>
      </c>
      <c r="F7" s="7" t="inlineStr">
        <is>
          <t>units of the fractal relationship: The recovered quantity retains HERTZ units: it is 2.45e9 Hz / 2^36 = 0.03565219230949878692626953125 Hz, the least-significant-bit step of a 36-bit accumulator clocked at 2.45 GHz. It is a frequency, not a dimensionless ratio.</t>
        </is>
      </c>
    </row>
    <row r="8">
      <c r="A8" s="7" t="inlineStr">
        <is>
          <t>CSPC-CORR-003</t>
        </is>
      </c>
      <c r="B8" s="7" t="inlineStr">
        <is>
          <t>correction</t>
        </is>
      </c>
      <c r="C8" s="7" t="inlineStr">
        <is>
          <t>DERIVED_ARITHMETIC</t>
        </is>
      </c>
      <c r="D8" s="7" t="inlineStr">
        <is>
          <t>PUBLIC</t>
        </is>
      </c>
      <c r="E8" s="7" t="inlineStr">
        <is>
          <t>definition of octave; 8^n = 2^(3n)</t>
        </is>
      </c>
      <c r="F8" s="7" t="inlineStr">
        <is>
          <t>powers-of-eight level naming: An octave is a factor of 2. The 11th powers-of-EIGHT level is 8^11 = 2^33, i.e. thirty-three octaves, not eleven. Calling it an 11th octave understates the span by 22 octaves.</t>
        </is>
      </c>
    </row>
    <row r="9">
      <c r="A9" s="7" t="inlineStr">
        <is>
          <t>CSPC-CORR-004</t>
        </is>
      </c>
      <c r="B9" s="7" t="inlineStr">
        <is>
          <t>correction</t>
        </is>
      </c>
      <c r="C9" s="7" t="inlineStr">
        <is>
          <t>DERIVED_ARITHMETIC</t>
        </is>
      </c>
      <c r="D9" s="7" t="inlineStr">
        <is>
          <t>PUBLIC</t>
        </is>
      </c>
      <c r="E9" s="7" t="inlineStr">
        <is>
          <t>cspc transfer firewalls ARITHMETIC_TO_SPECTRUM, SPECTRUM_TO_COUPLING, TEMPORAL_ORDER_TO_TRAVEL</t>
        </is>
      </c>
      <c r="F9" s="7" t="inlineStr">
        <is>
          <t>arithmetic vs physics: Arithmetic relationships do not establish coupling, energy transfer, or spacetime travel. An exact ratio between two numbers is a fact about the numbers.</t>
        </is>
      </c>
    </row>
    <row r="10">
      <c r="A10" s="7" t="inlineStr">
        <is>
          <t>CSPC-CORR-005</t>
        </is>
      </c>
      <c r="B10" s="7" t="inlineStr">
        <is>
          <t>correction</t>
        </is>
      </c>
      <c r="C10" s="7" t="inlineStr">
        <is>
          <t>DERIVED_ARITHMETIC</t>
        </is>
      </c>
      <c r="D10" s="7" t="inlineStr">
        <is>
          <t>PUBLIC</t>
        </is>
      </c>
      <c r="E10" s="7" t="inlineStr">
        <is>
          <t>transfer firewall SOURCE_PRECISION_TO_MEASUREMENT_PRECISION; cspc.units.Quantity.precision_audit</t>
        </is>
      </c>
      <c r="F10" s="7" t="inlineStr">
        <is>
          <t>precision inheritance: Source precision does not confer measurement precision. The input 2.45 GHz is nominal, carrying three significant figures. The quotient is exact ARITHMETIC to any number of digits, but its empirical significance remains three figures. Quoting sixteen digits as a physical fact is an overclaim.</t>
        </is>
      </c>
    </row>
    <row r="11">
      <c r="A11" s="8" t="inlineStr">
        <is>
          <t>CSPC-CORR-001-QUANT</t>
        </is>
      </c>
      <c r="B11" s="8" t="inlineStr">
        <is>
          <t>correction</t>
        </is>
      </c>
      <c r="C11" s="8" t="inlineStr">
        <is>
          <t>ANALYTIC_MODEL</t>
        </is>
      </c>
      <c r="D11" s="8" t="inlineStr">
        <is>
          <t>PUBLIC</t>
        </is>
      </c>
      <c r="E11" s="8" t="inlineStr">
        <is>
          <t>cspc.experiments.water_2g45_correction</t>
        </is>
      </c>
      <c r="F11" s="8" t="inlineStr">
        <is>
          <t>Debye loss peak 19.2 GHz; 2.45 GHz carries 25% of peak loss and is not a resonance.</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6" customWidth="1" min="3" max="3"/>
    <col width="15" customWidth="1" min="4" max="4"/>
    <col width="29" customWidth="1" min="5" max="5"/>
    <col width="60" customWidth="1" min="6" max="6"/>
    <col width="28" customWidth="1" min="7" max="7"/>
    <col width="51" customWidth="1" min="8" max="8"/>
    <col width="60" customWidth="1" min="9" max="9"/>
    <col width="56" customWidth="1" min="10" max="10"/>
  </cols>
  <sheetData>
    <row r="1">
      <c r="A1" s="27" t="inlineStr">
        <is>
          <t>id</t>
        </is>
      </c>
      <c r="B1" s="27" t="inlineStr">
        <is>
          <t>kind</t>
        </is>
      </c>
      <c r="C1" s="27" t="inlineStr">
        <is>
          <t>evidence_class</t>
        </is>
      </c>
      <c r="D1" s="27" t="inlineStr">
        <is>
          <t>privacy_class</t>
        </is>
      </c>
      <c r="E1" s="27" t="inlineStr">
        <is>
          <t>provenance</t>
        </is>
      </c>
      <c r="F1" s="27" t="inlineStr">
        <is>
          <t>title</t>
        </is>
      </c>
      <c r="G1" s="27" t="inlineStr">
        <is>
          <t>doi</t>
        </is>
      </c>
      <c r="H1" s="27" t="inlineStr">
        <is>
          <t>system</t>
        </is>
      </c>
      <c r="I1" s="27" t="inlineStr">
        <is>
          <t>publication_state</t>
        </is>
      </c>
      <c r="J1" s="27" t="inlineStr">
        <is>
          <t>forbidden_transfers</t>
        </is>
      </c>
    </row>
    <row r="2">
      <c r="A2" s="6" t="inlineStr">
        <is>
          <t>SRC-V4X2-01</t>
        </is>
      </c>
      <c r="B2" s="6" t="inlineStr">
        <is>
          <t>source</t>
        </is>
      </c>
      <c r="C2" s="6" t="inlineStr">
        <is>
          <t>SOURCE_CLAIM</t>
        </is>
      </c>
      <c r="D2" s="6" t="inlineStr">
        <is>
          <t>PUBLIC</t>
        </is>
      </c>
      <c r="E2" s="6" t="inlineStr">
        <is>
          <t>local hash 019435a03b3c5e9d</t>
        </is>
      </c>
      <c r="F2" s="6" t="inlineStr">
        <is>
          <t>Exchange-mediated spin-electric control of single molecules on surfaces</t>
        </is>
      </c>
      <c r="G2" s="6" t="inlineStr">
        <is>
          <t>10.1038/s41567-026-03353-w</t>
        </is>
      </c>
      <c r="H2" s="6" t="inlineStr">
        <is>
          <t>FePc and Fe-FePc on MgO/Ag(001)</t>
        </is>
      </c>
      <c r="I2" s="6" t="inlineStr">
        <is>
          <t>published</t>
        </is>
      </c>
      <c r="J2" s="6" t="inlineStr">
        <is>
          <t>alpha quartz; room temperature; macroscopic resonators</t>
        </is>
      </c>
    </row>
    <row r="3">
      <c r="A3" s="6" t="inlineStr">
        <is>
          <t>SRC-V4X2-02</t>
        </is>
      </c>
      <c r="B3" s="6" t="inlineStr">
        <is>
          <t>source</t>
        </is>
      </c>
      <c r="C3" s="6" t="inlineStr">
        <is>
          <t>SOURCE_CLAIM</t>
        </is>
      </c>
      <c r="D3" s="6" t="inlineStr">
        <is>
          <t>PUBLIC</t>
        </is>
      </c>
      <c r="E3" s="6" t="inlineStr">
        <is>
          <t>local hash 7e1df086615c6bac</t>
        </is>
      </c>
      <c r="F3" s="6" t="inlineStr">
        <is>
          <t>Non-equilibrium correlated electron dynamics in triangular molecular assemblies</t>
        </is>
      </c>
      <c r="G3" s="6" t="inlineStr">
        <is>
          <t>10.1038/s41467-026-75051-3</t>
        </is>
      </c>
      <c r="H3" s="6" t="inlineStr">
        <is>
          <t>TBTAP trimers and hexamers on Pb(111)</t>
        </is>
      </c>
      <c r="I3" s="6" t="inlineStr">
        <is>
          <t>article in press (unedited manuscript in the supplied file)</t>
        </is>
      </c>
      <c r="J3" s="6" t="inlineStr">
        <is>
          <t>charging physics to PCB or quartz</t>
        </is>
      </c>
    </row>
    <row r="4">
      <c r="A4" s="6" t="inlineStr">
        <is>
          <t>SRC-V4X2-03</t>
        </is>
      </c>
      <c r="B4" s="6" t="inlineStr">
        <is>
          <t>source</t>
        </is>
      </c>
      <c r="C4" s="6" t="inlineStr">
        <is>
          <t>SOURCE_CLAIM</t>
        </is>
      </c>
      <c r="D4" s="6" t="inlineStr">
        <is>
          <t>PUBLIC</t>
        </is>
      </c>
      <c r="E4" s="6" t="inlineStr">
        <is>
          <t>local hash b8e387558cb0a0f0</t>
        </is>
      </c>
      <c r="F4" s="6" t="inlineStr">
        <is>
          <t>Realization of strongly correlated 2D honeycomb boron</t>
        </is>
      </c>
      <c r="G4" s="6" t="inlineStr">
        <is>
          <t>10.1126/sciadv.aee3116</t>
        </is>
      </c>
      <c r="H4" s="6" t="inlineStr">
        <is>
          <t>expanded honeycomb boron surface state in LaRh3B2</t>
        </is>
      </c>
      <c r="I4" s="6" t="inlineStr">
        <is>
          <t>published</t>
        </is>
      </c>
      <c r="J4" s="6" t="inlineStr">
        <is>
          <t>electronic nematicity in PCB resonators or quartz</t>
        </is>
      </c>
    </row>
    <row r="5">
      <c r="A5" s="6" t="inlineStr">
        <is>
          <t>SRC-V4X2-04</t>
        </is>
      </c>
      <c r="B5" s="6" t="inlineStr">
        <is>
          <t>source</t>
        </is>
      </c>
      <c r="C5" s="6" t="inlineStr">
        <is>
          <t>SOURCE_CLAIM</t>
        </is>
      </c>
      <c r="D5" s="6" t="inlineStr">
        <is>
          <t>PUBLIC</t>
        </is>
      </c>
      <c r="E5" s="6" t="inlineStr">
        <is>
          <t>local hash 473ab08fd766fe38</t>
        </is>
      </c>
      <c r="F5" s="6" t="inlineStr">
        <is>
          <t>Geometric bookkeeping guide to Feynman-integral reduction and epsilon-factorized differential equations</t>
        </is>
      </c>
      <c r="G5" s="6" t="inlineStr">
        <is>
          <t>10.1103/pyt8-d7rt</t>
        </is>
      </c>
      <c r="H5" s="6" t="inlineStr">
        <is>
          <t>dimensionally regulated Feynman-integral families</t>
        </is>
      </c>
      <c r="I5" s="6" t="inlineStr">
        <is>
          <t>published</t>
        </is>
      </c>
      <c r="J5" s="6" t="inlineStr">
        <is>
          <t>Feynman-integral results; QFT claims of any kind</t>
        </is>
      </c>
    </row>
    <row r="6">
      <c r="A6" s="6" t="inlineStr">
        <is>
          <t>SRC-V4X2-05</t>
        </is>
      </c>
      <c r="B6" s="6" t="inlineStr">
        <is>
          <t>source</t>
        </is>
      </c>
      <c r="C6" s="6" t="inlineStr">
        <is>
          <t>SOURCE_CLAIM</t>
        </is>
      </c>
      <c r="D6" s="6" t="inlineStr">
        <is>
          <t>PUBLIC</t>
        </is>
      </c>
      <c r="E6" s="6" t="inlineStr">
        <is>
          <t>local hash 32f952347682a67e</t>
        </is>
      </c>
      <c r="F6" s="6" t="inlineStr">
        <is>
          <t>White-beam spin-echo interferometer for neutron orbital angular momentum generation</t>
        </is>
      </c>
      <c r="G6" s="6" t="inlineStr">
        <is>
          <t>10.1063/5.0321755</t>
        </is>
      </c>
      <c r="H6" s="6" t="inlineStr">
        <is>
          <t>CANISIUS broadband spin-echo interferometer</t>
        </is>
      </c>
      <c r="I6" s="6" t="inlineStr">
        <is>
          <t>published</t>
        </is>
      </c>
      <c r="J6" s="6" t="inlineStr">
        <is>
          <t>neutron physics; OAM-beam claims for resonators</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6" customWidth="1" min="3" max="3"/>
    <col width="15" customWidth="1" min="4" max="4"/>
    <col width="48" customWidth="1" min="5" max="5"/>
    <col width="60" customWidth="1" min="6" max="6"/>
    <col width="39" customWidth="1" min="7" max="7"/>
  </cols>
  <sheetData>
    <row r="1">
      <c r="A1" s="27" t="inlineStr">
        <is>
          <t>id</t>
        </is>
      </c>
      <c r="B1" s="27" t="inlineStr">
        <is>
          <t>kind</t>
        </is>
      </c>
      <c r="C1" s="27" t="inlineStr">
        <is>
          <t>evidence_class</t>
        </is>
      </c>
      <c r="D1" s="27" t="inlineStr">
        <is>
          <t>privacy_class</t>
        </is>
      </c>
      <c r="E1" s="27" t="inlineStr">
        <is>
          <t>provenance</t>
        </is>
      </c>
      <c r="F1" s="27" t="inlineStr">
        <is>
          <t>statement</t>
        </is>
      </c>
      <c r="G1" s="27" t="inlineStr">
        <is>
          <t>note</t>
        </is>
      </c>
    </row>
    <row r="2">
      <c r="A2" s="5" t="inlineStr">
        <is>
          <t>LORE-POLICY</t>
        </is>
      </c>
      <c r="B2" s="5" t="inlineStr">
        <is>
          <t>lore_policy</t>
        </is>
      </c>
      <c r="C2" s="5" t="inlineStr">
        <is>
          <t>LORE</t>
        </is>
      </c>
      <c r="D2" s="5" t="inlineStr">
        <is>
          <t>PUBLIC_SAFE</t>
        </is>
      </c>
      <c r="E2" s="5" t="inlineStr">
        <is>
          <t>docs/v4/resonator/LORE_AND_INTUITION_POLICY.md</t>
        </is>
      </c>
      <c r="F2" s="5" t="inlineStr">
        <is>
          <t>private lore is preserved local-only with consent control; observation is separated from interpretation; nothing in the lore lane is evidence</t>
        </is>
      </c>
      <c r="G2" s="5" t="inlineStr">
        <is>
          <t>public workbooks exclude private rows</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0" customWidth="1" min="3" max="3"/>
    <col width="15" customWidth="1" min="4" max="4"/>
    <col width="24" customWidth="1" min="5" max="5"/>
    <col width="16" customWidth="1" min="6" max="6"/>
    <col width="27" customWidth="1" min="7" max="7"/>
    <col width="10" customWidth="1" min="8" max="8"/>
    <col width="11" customWidth="1" min="9" max="9"/>
    <col width="30" customWidth="1" min="10" max="10"/>
    <col width="60" customWidth="1" min="11" max="11"/>
    <col width="10" customWidth="1" min="12" max="12"/>
  </cols>
  <sheetData>
    <row r="1">
      <c r="A1" s="27" t="inlineStr">
        <is>
          <t>id</t>
        </is>
      </c>
      <c r="B1" s="27" t="inlineStr">
        <is>
          <t>kind</t>
        </is>
      </c>
      <c r="C1" s="27" t="inlineStr">
        <is>
          <t>evidence_class</t>
        </is>
      </c>
      <c r="D1" s="27" t="inlineStr">
        <is>
          <t>privacy_class</t>
        </is>
      </c>
      <c r="E1" s="27" t="inlineStr">
        <is>
          <t>provenance</t>
        </is>
      </c>
      <c r="F1" s="27" t="inlineStr">
        <is>
          <t>product</t>
        </is>
      </c>
      <c r="G1" s="27" t="inlineStr">
        <is>
          <t>install_scope</t>
        </is>
      </c>
      <c r="H1" s="27" t="inlineStr">
        <is>
          <t>signed</t>
        </is>
      </c>
      <c r="I1" s="27" t="inlineStr">
        <is>
          <t>telemetry</t>
        </is>
      </c>
      <c r="J1" s="27" t="inlineStr">
        <is>
          <t>network</t>
        </is>
      </c>
      <c r="K1" s="27" t="inlineStr">
        <is>
          <t>claim_boundary</t>
        </is>
      </c>
      <c r="L1" s="27" t="inlineStr">
        <is>
          <t>version</t>
        </is>
      </c>
    </row>
    <row r="2">
      <c r="A2" s="7" t="inlineStr">
        <is>
          <t>REL-v4.5.0</t>
        </is>
      </c>
      <c r="B2" s="7" t="inlineStr">
        <is>
          <t>release_metadata</t>
        </is>
      </c>
      <c r="C2" s="7" t="inlineStr">
        <is>
          <t>DERIVED_ARITHMETIC</t>
        </is>
      </c>
      <c r="D2" s="7" t="inlineStr">
        <is>
          <t>PUBLIC</t>
        </is>
      </c>
      <c r="E2" s="7" t="inlineStr">
        <is>
          <t>pyproject.toml + build</t>
        </is>
      </c>
      <c r="F2" s="7" t="inlineStr">
        <is>
          <t>RGCS Workbench</t>
        </is>
      </c>
      <c r="G2" s="7" t="inlineStr">
        <is>
          <t>per-user (%LOCALAPPDATA%)</t>
        </is>
      </c>
      <c r="H2" s="7" t="b">
        <v>0</v>
      </c>
      <c r="I2" s="7" t="b">
        <v>0</v>
      </c>
      <c r="J2" s="7" t="inlineStr">
        <is>
          <t>loopback only, no auto-start</t>
        </is>
      </c>
      <c r="K2" s="7" t="inlineStr">
        <is>
          <t>SOFTWARE only; no physical crystal resonance, Eye, or anomalous channel is validated</t>
        </is>
      </c>
      <c r="L2" s="7" t="inlineStr">
        <is>
          <t>8.1.0</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20" customWidth="1" min="3" max="3"/>
    <col width="15" customWidth="1" min="4" max="4"/>
    <col width="45" customWidth="1" min="5" max="5"/>
    <col width="45" customWidth="1" min="6" max="6"/>
    <col width="10" customWidth="1" min="7" max="7"/>
    <col width="45" customWidth="1" min="8" max="8"/>
    <col width="21" customWidth="1" min="9" max="9"/>
    <col width="30" customWidth="1" min="10" max="10"/>
    <col width="22" customWidth="1" min="11" max="11"/>
    <col width="60" customWidth="1" min="12" max="12"/>
  </cols>
  <sheetData>
    <row r="1">
      <c r="A1" s="27" t="inlineStr">
        <is>
          <t>id</t>
        </is>
      </c>
      <c r="B1" s="27" t="inlineStr">
        <is>
          <t>kind</t>
        </is>
      </c>
      <c r="C1" s="27" t="inlineStr">
        <is>
          <t>evidence_class</t>
        </is>
      </c>
      <c r="D1" s="27" t="inlineStr">
        <is>
          <t>privacy_class</t>
        </is>
      </c>
      <c r="E1" s="27" t="inlineStr">
        <is>
          <t>provenance</t>
        </is>
      </c>
      <c r="F1" s="27" t="inlineStr">
        <is>
          <t>exact_value</t>
        </is>
      </c>
      <c r="G1" s="27" t="inlineStr">
        <is>
          <t>unit</t>
        </is>
      </c>
      <c r="H1" s="27" t="inlineStr">
        <is>
          <t>physically_supported_value</t>
        </is>
      </c>
      <c r="I1" s="27" t="inlineStr">
        <is>
          <t>significant_figures</t>
        </is>
      </c>
      <c r="J1" s="27" t="inlineStr">
        <is>
          <t>overclaims_if_quoted_exactly</t>
        </is>
      </c>
      <c r="K1" s="27" t="inlineStr">
        <is>
          <t>status</t>
        </is>
      </c>
      <c r="L1" s="27" t="inlineStr">
        <is>
          <t>note</t>
        </is>
      </c>
    </row>
    <row r="2">
      <c r="A2" s="7" t="inlineStr">
        <is>
          <t>FKEY-CSPC-DELTA</t>
        </is>
      </c>
      <c r="B2" s="7" t="inlineStr">
        <is>
          <t>cspc_candidate</t>
        </is>
      </c>
      <c r="C2" s="7" t="inlineStr">
        <is>
          <t>DERIVED_ARITHMETIC</t>
        </is>
      </c>
      <c r="D2" s="7" t="inlineStr">
        <is>
          <t>PUBLIC</t>
        </is>
      </c>
      <c r="E2" s="7" t="inlineStr">
        <is>
          <t>2.45e9 / 2^36</t>
        </is>
      </c>
      <c r="F2" s="7" t="inlineStr">
        <is>
          <t>0.03565219230949878692626953125</t>
        </is>
      </c>
      <c r="G2" s="7" t="inlineStr">
        <is>
          <t>Hz</t>
        </is>
      </c>
      <c r="H2" s="7" t="inlineStr">
        <is>
          <t>0.0357</t>
        </is>
      </c>
      <c r="I2" s="7" t="n">
        <v>3</v>
      </c>
      <c r="J2" s="7" t="b">
        <v>1</v>
      </c>
      <c r="K2" s="7" t="inlineStr">
        <is>
          <t>DERIVED_ARITHMETIC</t>
        </is>
      </c>
      <c r="L2" s="7" t="inlineStr">
        <is>
          <t>abstract 36-bit DDS LSB; period 536870912/19140625 s (~28.0487660147 s)</t>
        </is>
      </c>
    </row>
    <row r="3">
      <c r="A3" s="7" t="inlineStr">
        <is>
          <t>FKEY-CSPC-FOLD-5</t>
        </is>
      </c>
      <c r="B3" s="7" t="inlineStr">
        <is>
          <t>cspc_candidate</t>
        </is>
      </c>
      <c r="C3" s="7" t="inlineStr">
        <is>
          <t>DERIVED_ARITHMETIC</t>
        </is>
      </c>
      <c r="D3" s="7" t="inlineStr">
        <is>
          <t>PUBLIC</t>
        </is>
      </c>
      <c r="E3" s="7" t="inlineStr">
        <is>
          <t>2.45e9 / 8^5</t>
        </is>
      </c>
      <c r="F3" s="7" t="inlineStr">
        <is>
          <t>74768.06640625</t>
        </is>
      </c>
      <c r="G3" s="7" t="inlineStr">
        <is>
          <t>Hz</t>
        </is>
      </c>
      <c r="H3" s="7" t="inlineStr">
        <is>
          <t>74800</t>
        </is>
      </c>
      <c r="I3" s="7" t="n">
        <v>3</v>
      </c>
      <c r="J3" s="7" t="b">
        <v>1</v>
      </c>
      <c r="K3" s="7" t="inlineStr">
        <is>
          <t>REGISTERED_CANDIDATE</t>
        </is>
      </c>
      <c r="L3" s="7" t="inlineStr"/>
    </row>
    <row r="4">
      <c r="A4" s="7" t="inlineStr">
        <is>
          <t>FKEY-CSPC-FOLD-6</t>
        </is>
      </c>
      <c r="B4" s="7" t="inlineStr">
        <is>
          <t>cspc_candidate</t>
        </is>
      </c>
      <c r="C4" s="7" t="inlineStr">
        <is>
          <t>DERIVED_ARITHMETIC</t>
        </is>
      </c>
      <c r="D4" s="7" t="inlineStr">
        <is>
          <t>PUBLIC</t>
        </is>
      </c>
      <c r="E4" s="7" t="inlineStr">
        <is>
          <t>2.45e9 / 8^6</t>
        </is>
      </c>
      <c r="F4" s="7" t="inlineStr">
        <is>
          <t>9346.00830078125</t>
        </is>
      </c>
      <c r="G4" s="7" t="inlineStr">
        <is>
          <t>Hz</t>
        </is>
      </c>
      <c r="H4" s="7" t="inlineStr">
        <is>
          <t>9350</t>
        </is>
      </c>
      <c r="I4" s="7" t="n">
        <v>3</v>
      </c>
      <c r="J4" s="7" t="b">
        <v>1</v>
      </c>
      <c r="K4" s="7" t="inlineStr">
        <is>
          <t>REGISTERED_CANDIDATE</t>
        </is>
      </c>
      <c r="L4" s="7" t="inlineStr"/>
    </row>
    <row r="5">
      <c r="A5" s="7" t="inlineStr">
        <is>
          <t>FKEY-CSPC-FOLD-7</t>
        </is>
      </c>
      <c r="B5" s="7" t="inlineStr">
        <is>
          <t>cspc_candidate</t>
        </is>
      </c>
      <c r="C5" s="7" t="inlineStr">
        <is>
          <t>DERIVED_ARITHMETIC</t>
        </is>
      </c>
      <c r="D5" s="7" t="inlineStr">
        <is>
          <t>PUBLIC</t>
        </is>
      </c>
      <c r="E5" s="7" t="inlineStr">
        <is>
          <t>2.45e9 / 8^7</t>
        </is>
      </c>
      <c r="F5" s="7" t="inlineStr">
        <is>
          <t>1168.25103759765625</t>
        </is>
      </c>
      <c r="G5" s="7" t="inlineStr">
        <is>
          <t>Hz</t>
        </is>
      </c>
      <c r="H5" s="7" t="inlineStr">
        <is>
          <t>1170</t>
        </is>
      </c>
      <c r="I5" s="7" t="n">
        <v>3</v>
      </c>
      <c r="J5" s="7" t="b">
        <v>1</v>
      </c>
      <c r="K5" s="7" t="inlineStr">
        <is>
          <t>REGISTERED_CANDIDATE</t>
        </is>
      </c>
      <c r="L5" s="7" t="inlineStr"/>
    </row>
    <row r="6">
      <c r="A6" s="7" t="inlineStr">
        <is>
          <t>FKEY-CSPC-FOLD-8</t>
        </is>
      </c>
      <c r="B6" s="7" t="inlineStr">
        <is>
          <t>cspc_candidate</t>
        </is>
      </c>
      <c r="C6" s="7" t="inlineStr">
        <is>
          <t>DERIVED_ARITHMETIC</t>
        </is>
      </c>
      <c r="D6" s="7" t="inlineStr">
        <is>
          <t>PUBLIC</t>
        </is>
      </c>
      <c r="E6" s="7" t="inlineStr">
        <is>
          <t>2.45e9 / 8^8</t>
        </is>
      </c>
      <c r="F6" s="7" t="inlineStr">
        <is>
          <t>146.03137969970703125</t>
        </is>
      </c>
      <c r="G6" s="7" t="inlineStr">
        <is>
          <t>Hz</t>
        </is>
      </c>
      <c r="H6" s="7" t="inlineStr">
        <is>
          <t>146</t>
        </is>
      </c>
      <c r="I6" s="7" t="n">
        <v>3</v>
      </c>
      <c r="J6" s="7" t="b">
        <v>1</v>
      </c>
      <c r="K6" s="7" t="inlineStr">
        <is>
          <t>REGISTERED_CANDIDATE</t>
        </is>
      </c>
      <c r="L6" s="7" t="inlineStr"/>
    </row>
    <row r="7">
      <c r="A7" s="7" t="inlineStr">
        <is>
          <t>FKEY-CSPC-FOLD-9</t>
        </is>
      </c>
      <c r="B7" s="7" t="inlineStr">
        <is>
          <t>cspc_candidate</t>
        </is>
      </c>
      <c r="C7" s="7" t="inlineStr">
        <is>
          <t>DERIVED_ARITHMETIC</t>
        </is>
      </c>
      <c r="D7" s="7" t="inlineStr">
        <is>
          <t>PUBLIC</t>
        </is>
      </c>
      <c r="E7" s="7" t="inlineStr">
        <is>
          <t>2.45e9 / 8^9</t>
        </is>
      </c>
      <c r="F7" s="7" t="inlineStr">
        <is>
          <t>18.25392246246337890625</t>
        </is>
      </c>
      <c r="G7" s="7" t="inlineStr">
        <is>
          <t>Hz</t>
        </is>
      </c>
      <c r="H7" s="7" t="inlineStr">
        <is>
          <t>18.3</t>
        </is>
      </c>
      <c r="I7" s="7" t="n">
        <v>3</v>
      </c>
      <c r="J7" s="7" t="b">
        <v>1</v>
      </c>
      <c r="K7" s="7" t="inlineStr">
        <is>
          <t>REGISTERED_CANDIDATE</t>
        </is>
      </c>
      <c r="L7" s="7" t="inlineStr">
        <is>
          <t>primary low-frequency fold candidate</t>
        </is>
      </c>
    </row>
    <row r="8">
      <c r="A8" s="7" t="inlineStr">
        <is>
          <t>FKEY-CSPC-FOLD-10</t>
        </is>
      </c>
      <c r="B8" s="7" t="inlineStr">
        <is>
          <t>cspc_candidate</t>
        </is>
      </c>
      <c r="C8" s="7" t="inlineStr">
        <is>
          <t>DERIVED_ARITHMETIC</t>
        </is>
      </c>
      <c r="D8" s="7" t="inlineStr">
        <is>
          <t>PUBLIC</t>
        </is>
      </c>
      <c r="E8" s="7" t="inlineStr">
        <is>
          <t>2.45e9 / 8^10</t>
        </is>
      </c>
      <c r="F8" s="7" t="inlineStr">
        <is>
          <t>2.28174030780792236328125</t>
        </is>
      </c>
      <c r="G8" s="7" t="inlineStr">
        <is>
          <t>Hz</t>
        </is>
      </c>
      <c r="H8" s="7" t="inlineStr">
        <is>
          <t>2.28</t>
        </is>
      </c>
      <c r="I8" s="7" t="n">
        <v>3</v>
      </c>
      <c r="J8" s="7" t="b">
        <v>1</v>
      </c>
      <c r="K8" s="7" t="inlineStr">
        <is>
          <t>REGISTERED_CANDIDATE</t>
        </is>
      </c>
      <c r="L8" s="7" t="inlineStr"/>
    </row>
    <row r="9">
      <c r="A9" s="7" t="inlineStr">
        <is>
          <t>FKEY-CSPC-FOLD-11</t>
        </is>
      </c>
      <c r="B9" s="7" t="inlineStr">
        <is>
          <t>cspc_candidate</t>
        </is>
      </c>
      <c r="C9" s="7" t="inlineStr">
        <is>
          <t>DERIVED_ARITHMETIC</t>
        </is>
      </c>
      <c r="D9" s="7" t="inlineStr">
        <is>
          <t>PUBLIC</t>
        </is>
      </c>
      <c r="E9" s="7" t="inlineStr">
        <is>
          <t>2.45e9 / 8^11</t>
        </is>
      </c>
      <c r="F9" s="7" t="inlineStr">
        <is>
          <t>0.28521753847599029541015625</t>
        </is>
      </c>
      <c r="G9" s="7" t="inlineStr">
        <is>
          <t>Hz</t>
        </is>
      </c>
      <c r="H9" s="7" t="inlineStr">
        <is>
          <t>0.285</t>
        </is>
      </c>
      <c r="I9" s="7" t="n">
        <v>3</v>
      </c>
      <c r="J9" s="7" t="b">
        <v>1</v>
      </c>
      <c r="K9" s="7" t="inlineStr">
        <is>
          <t>REGISTERED_CANDIDATE</t>
        </is>
      </c>
      <c r="L9" s="7" t="inlineStr"/>
    </row>
    <row r="10">
      <c r="A10" s="7" t="inlineStr">
        <is>
          <t>FKEY-CSPC-OPT</t>
        </is>
      </c>
      <c r="B10" s="7" t="inlineStr">
        <is>
          <t>cspc_candidate</t>
        </is>
      </c>
      <c r="C10" s="7" t="inlineStr">
        <is>
          <t>DERIVED_ARITHMETIC</t>
        </is>
      </c>
      <c r="D10" s="7" t="inlineStr">
        <is>
          <t>PUBLIC</t>
        </is>
      </c>
      <c r="E10" s="7" t="inlineStr">
        <is>
          <t>4096 * 2^37 = 2^49</t>
        </is>
      </c>
      <c r="F10" s="7" t="inlineStr">
        <is>
          <t>562949953421312</t>
        </is>
      </c>
      <c r="G10" s="7" t="inlineStr">
        <is>
          <t>Hz</t>
        </is>
      </c>
      <c r="H10" s="7" t="inlineStr">
        <is>
          <t>562949953421312</t>
        </is>
      </c>
      <c r="I10" s="7" t="inlineStr">
        <is>
          <t>exact</t>
        </is>
      </c>
      <c r="J10" s="7" t="b">
        <v>0</v>
      </c>
      <c r="K10" s="7" t="inlineStr">
        <is>
          <t>DERIVED_ARITHMETIC</t>
        </is>
      </c>
      <c r="L10" s="7" t="inlineStr">
        <is>
          <t>exact integer arithmetic; NOT evidence of optical coupling</t>
        </is>
      </c>
    </row>
    <row r="11">
      <c r="A11" s="7" t="inlineStr">
        <is>
          <t>FKEY-CSPC-OPT-LAMBDA</t>
        </is>
      </c>
      <c r="B11" s="7" t="inlineStr">
        <is>
          <t>cspc_candidate</t>
        </is>
      </c>
      <c r="C11" s="7" t="inlineStr">
        <is>
          <t>DERIVED_ARITHMETIC</t>
        </is>
      </c>
      <c r="D11" s="7" t="inlineStr">
        <is>
          <t>PUBLIC</t>
        </is>
      </c>
      <c r="E11" s="7" t="inlineStr">
        <is>
          <t>c / (4096 * 2^37), c exact by SI definition</t>
        </is>
      </c>
      <c r="F11" s="7" t="inlineStr">
        <is>
          <t>532.538383168912332621403038501739501953125</t>
        </is>
      </c>
      <c r="G11" s="7" t="inlineStr">
        <is>
          <t>nm</t>
        </is>
      </c>
      <c r="H11" s="7" t="inlineStr">
        <is>
          <t>532.538383168912332621403038501739501953125</t>
        </is>
      </c>
      <c r="I11" s="7" t="inlineStr">
        <is>
          <t>exact</t>
        </is>
      </c>
      <c r="J11" s="7" t="b">
        <v>0</v>
      </c>
      <c r="K11" s="7" t="inlineStr">
        <is>
          <t>DERIVED_ARITHMETIC</t>
        </is>
      </c>
      <c r="L11" s="7" t="inlineStr">
        <is>
          <t>exact by definition; the pack quotes it as 532.5383831689123 nm</t>
        </is>
      </c>
    </row>
    <row r="12">
      <c r="A12" s="7" t="inlineStr">
        <is>
          <t>FKEY-4096</t>
        </is>
      </c>
      <c r="B12" s="7" t="inlineStr">
        <is>
          <t>cspc_candidate</t>
        </is>
      </c>
      <c r="C12" s="7" t="inlineStr">
        <is>
          <t>DERIVED_ARITHMETIC</t>
        </is>
      </c>
      <c r="D12" s="7" t="inlineStr">
        <is>
          <t>PUBLIC</t>
        </is>
      </c>
      <c r="E12" s="7" t="inlineStr">
        <is>
          <t>source/derived master</t>
        </is>
      </c>
      <c r="F12" s="7" t="inlineStr">
        <is>
          <t>4096</t>
        </is>
      </c>
      <c r="G12" s="7" t="inlineStr">
        <is>
          <t>Hz</t>
        </is>
      </c>
      <c r="H12" s="7" t="inlineStr">
        <is>
          <t>4096</t>
        </is>
      </c>
      <c r="I12" s="7" t="inlineStr">
        <is>
          <t>exact</t>
        </is>
      </c>
      <c r="J12" s="7" t="b">
        <v>0</v>
      </c>
      <c r="K12" s="7" t="inlineStr">
        <is>
          <t>REGISTERED_CANDIDATE</t>
        </is>
      </c>
      <c r="L12" s="7" t="inlineStr"/>
    </row>
    <row r="13">
      <c r="A13" s="7" t="inlineStr">
        <is>
          <t>FKEY-20480</t>
        </is>
      </c>
      <c r="B13" s="7" t="inlineStr">
        <is>
          <t>cspc_candidate</t>
        </is>
      </c>
      <c r="C13" s="7" t="inlineStr">
        <is>
          <t>DERIVED_ARITHMETIC</t>
        </is>
      </c>
      <c r="D13" s="7" t="inlineStr">
        <is>
          <t>PUBLIC</t>
        </is>
      </c>
      <c r="E13" s="7" t="inlineStr">
        <is>
          <t>4096 * 5</t>
        </is>
      </c>
      <c r="F13" s="7" t="inlineStr">
        <is>
          <t>20480</t>
        </is>
      </c>
      <c r="G13" s="7" t="inlineStr">
        <is>
          <t>Hz</t>
        </is>
      </c>
      <c r="H13" s="7" t="inlineStr">
        <is>
          <t>20480</t>
        </is>
      </c>
      <c r="I13" s="7" t="inlineStr">
        <is>
          <t>exact</t>
        </is>
      </c>
      <c r="J13" s="7" t="b">
        <v>0</v>
      </c>
      <c r="K13" s="7" t="inlineStr">
        <is>
          <t>REGISTERED_TARGET</t>
        </is>
      </c>
      <c r="L13" s="7" t="inlineStr">
        <is>
          <t>exact fifth harmonic IF the drive waveform contains one; a pure sine does not</t>
        </is>
      </c>
    </row>
    <row r="14">
      <c r="A14" s="7" t="inlineStr">
        <is>
          <t>FKEY-32768</t>
        </is>
      </c>
      <c r="B14" s="7" t="inlineStr">
        <is>
          <t>cspc_candidate</t>
        </is>
      </c>
      <c r="C14" s="7" t="inlineStr">
        <is>
          <t>DERIVED_ARITHMETIC</t>
        </is>
      </c>
      <c r="D14" s="7" t="inlineStr">
        <is>
          <t>PUBLIC</t>
        </is>
      </c>
      <c r="E14" s="7" t="inlineStr">
        <is>
          <t>2^15</t>
        </is>
      </c>
      <c r="F14" s="7" t="inlineStr">
        <is>
          <t>32768</t>
        </is>
      </c>
      <c r="G14" s="7" t="inlineStr">
        <is>
          <t>Hz</t>
        </is>
      </c>
      <c r="H14" s="7" t="inlineStr">
        <is>
          <t>32768</t>
        </is>
      </c>
      <c r="I14" s="7" t="inlineStr">
        <is>
          <t>exact</t>
        </is>
      </c>
      <c r="J14" s="7" t="b">
        <v>0</v>
      </c>
      <c r="K14" s="7" t="inlineStr">
        <is>
          <t>REGISTERED_CANDIDATE</t>
        </is>
      </c>
      <c r="L14" s="7" t="inlineStr">
        <is>
          <t>standard quartz clock crystal, for comparison</t>
        </is>
      </c>
    </row>
    <row r="15">
      <c r="A15" s="7" t="inlineStr">
        <is>
          <t>FKEY-40960</t>
        </is>
      </c>
      <c r="B15" s="7" t="inlineStr">
        <is>
          <t>cspc_candidate</t>
        </is>
      </c>
      <c r="C15" s="7" t="inlineStr">
        <is>
          <t>DERIVED_ARITHMETIC</t>
        </is>
      </c>
      <c r="D15" s="7" t="inlineStr">
        <is>
          <t>PUBLIC</t>
        </is>
      </c>
      <c r="E15" s="7" t="inlineStr">
        <is>
          <t>20480 * 2</t>
        </is>
      </c>
      <c r="F15" s="7" t="inlineStr">
        <is>
          <t>40960</t>
        </is>
      </c>
      <c r="G15" s="7" t="inlineStr">
        <is>
          <t>Hz</t>
        </is>
      </c>
      <c r="H15" s="7" t="inlineStr">
        <is>
          <t>40960</t>
        </is>
      </c>
      <c r="I15" s="7" t="inlineStr">
        <is>
          <t>exact</t>
        </is>
      </c>
      <c r="J15" s="7" t="b">
        <v>0</v>
      </c>
      <c r="K15" s="7" t="inlineStr">
        <is>
          <t>REGISTERED_TARGET</t>
        </is>
      </c>
      <c r="L15" s="7" t="inlineStr"/>
    </row>
    <row r="16">
      <c r="A16" s="7" t="inlineStr">
        <is>
          <t>FKEY-20_48</t>
        </is>
      </c>
      <c r="B16" s="7" t="inlineStr">
        <is>
          <t>cspc_candidate</t>
        </is>
      </c>
      <c r="C16" s="7" t="inlineStr">
        <is>
          <t>DERIVED_ARITHMETIC</t>
        </is>
      </c>
      <c r="D16" s="7" t="inlineStr">
        <is>
          <t>PUBLIC</t>
        </is>
      </c>
      <c r="E16" s="7" t="inlineStr">
        <is>
          <t>4096 / 200</t>
        </is>
      </c>
      <c r="F16" s="7" t="inlineStr">
        <is>
          <t>20.48</t>
        </is>
      </c>
      <c r="G16" s="7" t="inlineStr">
        <is>
          <t>Hz</t>
        </is>
      </c>
      <c r="H16" s="7" t="inlineStr">
        <is>
          <t>20.48</t>
        </is>
      </c>
      <c r="I16" s="7" t="inlineStr">
        <is>
          <t>exact</t>
        </is>
      </c>
      <c r="J16" s="7" t="b">
        <v>0</v>
      </c>
      <c r="K16" s="7" t="inlineStr">
        <is>
          <t>REGISTERED_CANDIDATE</t>
        </is>
      </c>
      <c r="L16" s="7" t="inlineStr"/>
    </row>
    <row r="17">
      <c r="A17" s="7" t="inlineStr">
        <is>
          <t>FKEY-40_96</t>
        </is>
      </c>
      <c r="B17" s="7" t="inlineStr">
        <is>
          <t>cspc_candidate</t>
        </is>
      </c>
      <c r="C17" s="7" t="inlineStr">
        <is>
          <t>DERIVED_ARITHMETIC</t>
        </is>
      </c>
      <c r="D17" s="7" t="inlineStr">
        <is>
          <t>PUBLIC</t>
        </is>
      </c>
      <c r="E17" s="7" t="inlineStr">
        <is>
          <t>4096 / 100</t>
        </is>
      </c>
      <c r="F17" s="7" t="inlineStr">
        <is>
          <t>40.96</t>
        </is>
      </c>
      <c r="G17" s="7" t="inlineStr">
        <is>
          <t>Hz</t>
        </is>
      </c>
      <c r="H17" s="7" t="inlineStr">
        <is>
          <t>40.96</t>
        </is>
      </c>
      <c r="I17" s="7" t="inlineStr">
        <is>
          <t>exact</t>
        </is>
      </c>
      <c r="J17" s="7" t="b">
        <v>0</v>
      </c>
      <c r="K17" s="7" t="inlineStr">
        <is>
          <t>REGISTERED_CANDIDATE</t>
        </is>
      </c>
      <c r="L17" s="7" t="inlineStr"/>
    </row>
    <row r="18">
      <c r="A18" s="7" t="inlineStr">
        <is>
          <t>FKEY-8HZ</t>
        </is>
      </c>
      <c r="B18" s="7" t="inlineStr">
        <is>
          <t>cspc_candidate</t>
        </is>
      </c>
      <c r="C18" s="7" t="inlineStr">
        <is>
          <t>DERIVED_ARITHMETIC</t>
        </is>
      </c>
      <c r="D18" s="7" t="inlineStr">
        <is>
          <t>PUBLIC</t>
        </is>
      </c>
      <c r="E18" s="7" t="inlineStr">
        <is>
          <t>historical/base</t>
        </is>
      </c>
      <c r="F18" s="7" t="inlineStr">
        <is>
          <t>8</t>
        </is>
      </c>
      <c r="G18" s="7" t="inlineStr">
        <is>
          <t>Hz</t>
        </is>
      </c>
      <c r="H18" s="7" t="inlineStr">
        <is>
          <t>8</t>
        </is>
      </c>
      <c r="I18" s="7" t="inlineStr">
        <is>
          <t>exact</t>
        </is>
      </c>
      <c r="J18" s="7" t="b">
        <v>0</v>
      </c>
      <c r="K18" s="7" t="inlineStr">
        <is>
          <t>REGISTERED_CANDIDATE</t>
        </is>
      </c>
      <c r="L18" s="7" t="inlineStr"/>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20" customWidth="1" min="1" max="1"/>
    <col width="11" customWidth="1" min="2" max="2"/>
    <col width="20" customWidth="1" min="3" max="3"/>
    <col width="15" customWidth="1" min="4" max="4"/>
    <col width="41" customWidth="1" min="5" max="5"/>
    <col width="50" customWidth="1" min="6" max="6"/>
    <col width="17" customWidth="1" min="7" max="7"/>
    <col width="12" customWidth="1" min="8" max="8"/>
    <col width="60" customWidth="1" min="9" max="9"/>
    <col width="10" customWidth="1" min="10" max="10"/>
    <col width="10" customWidth="1" min="11" max="11"/>
    <col width="19" customWidth="1" min="12" max="12"/>
    <col width="24" customWidth="1" min="13" max="13"/>
    <col width="50" customWidth="1" min="14" max="14"/>
  </cols>
  <sheetData>
    <row r="1">
      <c r="A1" s="27" t="inlineStr">
        <is>
          <t>id</t>
        </is>
      </c>
      <c r="B1" s="27" t="inlineStr">
        <is>
          <t>kind</t>
        </is>
      </c>
      <c r="C1" s="27" t="inlineStr">
        <is>
          <t>evidence_class</t>
        </is>
      </c>
      <c r="D1" s="27" t="inlineStr">
        <is>
          <t>privacy_class</t>
        </is>
      </c>
      <c r="E1" s="27" t="inlineStr">
        <is>
          <t>provenance</t>
        </is>
      </c>
      <c r="F1" s="27" t="inlineStr">
        <is>
          <t>source_phrase</t>
        </is>
      </c>
      <c r="G1" s="27" t="inlineStr">
        <is>
          <t>status</t>
        </is>
      </c>
      <c r="H1" s="27" t="inlineStr">
        <is>
          <t>n_readings</t>
        </is>
      </c>
      <c r="I1" s="27" t="inlineStr">
        <is>
          <t>resolution</t>
        </is>
      </c>
      <c r="J1" s="27" t="inlineStr">
        <is>
          <t>vertices</t>
        </is>
      </c>
      <c r="K1" s="27" t="inlineStr">
        <is>
          <t>edges</t>
        </is>
      </c>
      <c r="L1" s="27" t="inlineStr">
        <is>
          <t>tetrahedral_cells</t>
        </is>
      </c>
      <c r="M1" s="27" t="inlineStr">
        <is>
          <t>algebraic_connectivity</t>
        </is>
      </c>
      <c r="N1" s="27" t="inlineStr">
        <is>
          <t>note</t>
        </is>
      </c>
    </row>
    <row r="2">
      <c r="A2" s="6" t="inlineStr">
        <is>
          <t>TETRA-AMBIGUITY</t>
        </is>
      </c>
      <c r="B2" s="6" t="inlineStr">
        <is>
          <t>ambiguity</t>
        </is>
      </c>
      <c r="C2" s="6" t="inlineStr">
        <is>
          <t>SOURCE_CLAIM</t>
        </is>
      </c>
      <c r="D2" s="6" t="inlineStr">
        <is>
          <t>PUBLIC</t>
        </is>
      </c>
      <c r="E2" s="6" t="inlineStr">
        <is>
          <t>cspc.tetra.ambiguity_report</t>
        </is>
      </c>
      <c r="F2" s="6" t="inlineStr">
        <is>
          <t>4096 and 64 are linked to a 64-tetrahedron grid.</t>
        </is>
      </c>
      <c r="G2" s="6" t="inlineStr">
        <is>
          <t>UNDERDETERMINED</t>
        </is>
      </c>
      <c r="H2" s="6" t="n">
        <v>4</v>
      </c>
      <c r="I2" s="6" t="inlineStr">
        <is>
          <t>NOT RESOLVED. The source does not specify whether 64 counts cells or vertices, nor which geometry. All readings are analysed; none is promoted.</t>
        </is>
      </c>
      <c r="J2" s="6" t="n"/>
      <c r="K2" s="6" t="n"/>
      <c r="L2" s="6" t="n"/>
      <c r="M2" s="6" t="n"/>
      <c r="N2" s="6" t="n"/>
    </row>
    <row r="3">
      <c r="A3" s="7" t="inlineStr">
        <is>
          <t>TETRA-CUBIC-4x4x4</t>
        </is>
      </c>
      <c r="B3" s="7" t="inlineStr">
        <is>
          <t>complex</t>
        </is>
      </c>
      <c r="C3" s="7" t="inlineStr">
        <is>
          <t>DERIVED_ARITHMETIC</t>
        </is>
      </c>
      <c r="D3" s="7" t="inlineStr">
        <is>
          <t>PUBLIC</t>
        </is>
      </c>
      <c r="E3" s="7" t="inlineStr">
        <is>
          <t>cspc.tetra reading=READ-NODES-CUBIC</t>
        </is>
      </c>
      <c r="F3" s="7" t="n"/>
      <c r="G3" s="7" t="n"/>
      <c r="H3" s="7" t="n"/>
      <c r="I3" s="7" t="n"/>
      <c r="J3" s="7" t="n">
        <v>64</v>
      </c>
      <c r="K3" s="7" t="n">
        <v>144</v>
      </c>
      <c r="L3" s="7" t="n">
        <v>0</v>
      </c>
      <c r="M3" s="7" t="n">
        <v>0.585786</v>
      </c>
      <c r="N3" s="7" t="inlineStr">
        <is>
          <t>64 vertices, 3-regular interior; not tetrahedral</t>
        </is>
      </c>
    </row>
    <row r="4">
      <c r="A4" s="7" t="inlineStr">
        <is>
          <t>TETRA-HYPERCUBE-Q6</t>
        </is>
      </c>
      <c r="B4" s="7" t="inlineStr">
        <is>
          <t>complex</t>
        </is>
      </c>
      <c r="C4" s="7" t="inlineStr">
        <is>
          <t>DERIVED_ARITHMETIC</t>
        </is>
      </c>
      <c r="D4" s="7" t="inlineStr">
        <is>
          <t>PUBLIC</t>
        </is>
      </c>
      <c r="E4" s="7" t="inlineStr">
        <is>
          <t>cspc.tetra reading=READ-NODES-HYPERCUBE</t>
        </is>
      </c>
      <c r="F4" s="7" t="n"/>
      <c r="G4" s="7" t="n"/>
      <c r="H4" s="7" t="n"/>
      <c r="I4" s="7" t="n"/>
      <c r="J4" s="7" t="n">
        <v>64</v>
      </c>
      <c r="K4" s="7" t="n">
        <v>192</v>
      </c>
      <c r="L4" s="7" t="n">
        <v>0</v>
      </c>
      <c r="M4" s="7" t="n">
        <v>2</v>
      </c>
      <c r="N4" s="7" t="inlineStr">
        <is>
          <t>6-regular, vertex-transitive, bipartite</t>
        </is>
      </c>
    </row>
    <row r="5">
      <c r="A5" s="7" t="inlineStr">
        <is>
          <t>TETRA-TETRA-SUBDIV</t>
        </is>
      </c>
      <c r="B5" s="7" t="inlineStr">
        <is>
          <t>complex</t>
        </is>
      </c>
      <c r="C5" s="7" t="inlineStr">
        <is>
          <t>DERIVED_ARITHMETIC</t>
        </is>
      </c>
      <c r="D5" s="7" t="inlineStr">
        <is>
          <t>PUBLIC</t>
        </is>
      </c>
      <c r="E5" s="7" t="inlineStr">
        <is>
          <t>cspc.tetra reading=READ-CELLS-SUBDIV</t>
        </is>
      </c>
      <c r="F5" s="7" t="n"/>
      <c r="G5" s="7" t="n"/>
      <c r="H5" s="7" t="n"/>
      <c r="I5" s="7" t="n"/>
      <c r="J5" s="7" t="n">
        <v>35</v>
      </c>
      <c r="K5" s="7" t="n">
        <v>130</v>
      </c>
      <c r="L5" s="7" t="n">
        <v>64</v>
      </c>
      <c r="M5" s="7" t="n">
        <v>1.236061</v>
      </c>
      <c r="N5" s="7" t="inlineStr">
        <is>
          <t>64 tetrahedral cells from two 1-&gt;8 subdivisions</t>
        </is>
      </c>
    </row>
    <row r="6">
      <c r="A6" s="7" t="inlineStr">
        <is>
          <t>TETRA-FULLER-VE-64</t>
        </is>
      </c>
      <c r="B6" s="7" t="inlineStr">
        <is>
          <t>complex</t>
        </is>
      </c>
      <c r="C6" s="7" t="inlineStr">
        <is>
          <t>DERIVED_ARITHMETIC</t>
        </is>
      </c>
      <c r="D6" s="7" t="inlineStr">
        <is>
          <t>PUBLIC</t>
        </is>
      </c>
      <c r="E6" s="7" t="inlineStr">
        <is>
          <t>cspc.tetra reading=READ-CELLS-FULLER</t>
        </is>
      </c>
      <c r="F6" s="7" t="n"/>
      <c r="G6" s="7" t="n"/>
      <c r="H6" s="7" t="n"/>
      <c r="I6" s="7" t="n"/>
      <c r="J6" s="7" t="n">
        <v>64</v>
      </c>
      <c r="K6" s="7" t="n">
        <v>208</v>
      </c>
      <c r="L6" s="7" t="n">
        <v>64</v>
      </c>
      <c r="M6" s="7" t="n">
        <v>0.06877800000000001</v>
      </c>
      <c r="N6" s="7" t="inlineStr">
        <is>
          <t>64 tetrahedral cells in 8 clusters</t>
        </is>
      </c>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O7"/>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6" customWidth="1" min="3" max="3"/>
    <col width="15" customWidth="1" min="4" max="4"/>
    <col width="30" customWidth="1" min="5" max="5"/>
    <col width="18" customWidth="1" min="6" max="6"/>
    <col width="10" customWidth="1" min="7" max="7"/>
    <col width="23" customWidth="1" min="8" max="8"/>
    <col width="24" customWidth="1" min="9" max="9"/>
    <col width="34" customWidth="1" min="10" max="10"/>
    <col width="12" customWidth="1" min="11" max="11"/>
    <col width="60" customWidth="1" min="12" max="12"/>
    <col width="13" customWidth="1" min="13" max="13"/>
    <col width="60" customWidth="1" min="14" max="14"/>
    <col width="60" customWidth="1" min="15" max="15"/>
  </cols>
  <sheetData>
    <row r="1">
      <c r="A1" s="27" t="inlineStr">
        <is>
          <t>id</t>
        </is>
      </c>
      <c r="B1" s="27" t="inlineStr">
        <is>
          <t>kind</t>
        </is>
      </c>
      <c r="C1" s="27" t="inlineStr">
        <is>
          <t>evidence_class</t>
        </is>
      </c>
      <c r="D1" s="27" t="inlineStr">
        <is>
          <t>privacy_class</t>
        </is>
      </c>
      <c r="E1" s="27" t="inlineStr">
        <is>
          <t>provenance</t>
        </is>
      </c>
      <c r="F1" s="27" t="inlineStr">
        <is>
          <t>apparatus</t>
        </is>
      </c>
      <c r="G1" s="27" t="inlineStr">
        <is>
          <t>energy_j</t>
        </is>
      </c>
      <c r="H1" s="27" t="inlineStr">
        <is>
          <t>equivalent_mass_kg</t>
        </is>
      </c>
      <c r="I1" s="27" t="inlineStr">
        <is>
          <t>schwarzschild_radius_m</t>
        </is>
      </c>
      <c r="J1" s="27" t="inlineStr">
        <is>
          <t>orders_of_magnitude_below_proton</t>
        </is>
      </c>
      <c r="K1" s="27" t="inlineStr">
        <is>
          <t>verdict</t>
        </is>
      </c>
      <c r="L1" s="27" t="inlineStr">
        <is>
          <t>claim</t>
        </is>
      </c>
      <c r="M1" s="27" t="inlineStr">
        <is>
          <t>status</t>
        </is>
      </c>
      <c r="N1" s="27" t="inlineStr">
        <is>
          <t>required_evidence</t>
        </is>
      </c>
      <c r="O1" s="27" t="inlineStr">
        <is>
          <t>why_unsupported</t>
        </is>
      </c>
    </row>
    <row r="2">
      <c r="A2" s="8" t="inlineStr">
        <is>
          <t>ENERGY-AUDIT-100W-1H</t>
        </is>
      </c>
      <c r="B2" s="8" t="inlineStr">
        <is>
          <t>energy_audit</t>
        </is>
      </c>
      <c r="C2" s="8" t="inlineStr">
        <is>
          <t>ANALYTIC_MODEL</t>
        </is>
      </c>
      <c r="D2" s="8" t="inlineStr">
        <is>
          <t>PUBLIC</t>
        </is>
      </c>
      <c r="E2" s="8" t="inlineStr">
        <is>
          <t>cspc.spacetime.energy_audit</t>
        </is>
      </c>
      <c r="F2" s="8" t="inlineStr">
        <is>
          <t>100 W for 3600 s</t>
        </is>
      </c>
      <c r="G2" s="8" t="n">
        <v>360000</v>
      </c>
      <c r="H2" s="8" t="n">
        <v>4.005540201793026e-12</v>
      </c>
      <c r="I2" s="8" t="n">
        <v>5.949156700582587e-39</v>
      </c>
      <c r="J2" s="8" t="n">
        <v>23.2</v>
      </c>
      <c r="K2" s="8" t="inlineStr">
        <is>
          <t>NEGLIGIBLE</t>
        </is>
      </c>
      <c r="L2" s="8" t="n"/>
      <c r="M2" s="8" t="n"/>
      <c r="N2" s="8" t="n"/>
      <c r="O2" s="8" t="n"/>
    </row>
    <row r="3">
      <c r="A3" s="13" t="inlineStr">
        <is>
          <t>TRV-001</t>
        </is>
      </c>
      <c r="B3" s="13" t="inlineStr">
        <is>
          <t>travel_claim</t>
        </is>
      </c>
      <c r="C3" s="13" t="inlineStr">
        <is>
          <t>UNSUPPORTED</t>
        </is>
      </c>
      <c r="D3" s="13" t="inlineStr">
        <is>
          <t>PUBLIC</t>
        </is>
      </c>
      <c r="E3" s="13" t="inlineStr">
        <is>
          <t>cspc.spacetime.TRAVEL_CLAIMS</t>
        </is>
      </c>
      <c r="F3" s="13" t="n"/>
      <c r="G3" s="13" t="n"/>
      <c r="H3" s="13" t="n"/>
      <c r="I3" s="13" t="n"/>
      <c r="J3" s="13" t="n"/>
      <c r="K3" s="13" t="n"/>
      <c r="L3" s="13" t="inlineStr">
        <is>
          <t>A resonator array displaces an object backward in time.</t>
        </is>
      </c>
      <c r="M3" s="13" t="inlineStr">
        <is>
          <t>UNSUPPORTED</t>
        </is>
      </c>
      <c r="N3" s="13" t="inlineStr">
        <is>
          <t>a closed timelike curve, or an object arriving before it departed, measured by synchronised clocks with independent witnesses and no signal-path artefact</t>
        </is>
      </c>
      <c r="O3" s="13" t="inlineStr">
        <is>
          <t>the programme manipulates oscillator phase. Phase is not proper time (A25); no mechanism connects the two.</t>
        </is>
      </c>
    </row>
    <row r="4">
      <c r="A4" s="13" t="inlineStr">
        <is>
          <t>TRV-002</t>
        </is>
      </c>
      <c r="B4" s="13" t="inlineStr">
        <is>
          <t>travel_claim</t>
        </is>
      </c>
      <c r="C4" s="13" t="inlineStr">
        <is>
          <t>UNSUPPORTED</t>
        </is>
      </c>
      <c r="D4" s="13" t="inlineStr">
        <is>
          <t>PUBLIC</t>
        </is>
      </c>
      <c r="E4" s="13" t="inlineStr">
        <is>
          <t>cspc.spacetime.TRAVEL_CLAIMS</t>
        </is>
      </c>
      <c r="F4" s="13" t="n"/>
      <c r="G4" s="13" t="n"/>
      <c r="H4" s="13" t="n"/>
      <c r="I4" s="13" t="n"/>
      <c r="J4" s="13" t="n"/>
      <c r="K4" s="13" t="n"/>
      <c r="L4" s="13" t="inlineStr">
        <is>
          <t>Phase-coherent driving creates a usable metric perturbation.</t>
        </is>
      </c>
      <c r="M4" s="13" t="inlineStr">
        <is>
          <t>UNSUPPORTED</t>
        </is>
      </c>
      <c r="N4" s="13" t="inlineStr">
        <is>
          <t>a measured deviation from the flat-space geodesic exceeding instrument noise, with the apparatus energy accounted for</t>
        </is>
      </c>
      <c r="O4" s="13" t="inlineStr">
        <is>
          <t>the energy audit (A27) puts the implied Schwarzschild radius tens of orders of magnitude below a proton radius.</t>
        </is>
      </c>
    </row>
    <row r="5">
      <c r="A5" s="13" t="inlineStr">
        <is>
          <t>TRV-003</t>
        </is>
      </c>
      <c r="B5" s="13" t="inlineStr">
        <is>
          <t>travel_claim</t>
        </is>
      </c>
      <c r="C5" s="13" t="inlineStr">
        <is>
          <t>UNSUPPORTED</t>
        </is>
      </c>
      <c r="D5" s="13" t="inlineStr">
        <is>
          <t>PUBLIC</t>
        </is>
      </c>
      <c r="E5" s="13" t="inlineStr">
        <is>
          <t>cspc.spacetime.TRAVEL_CLAIMS</t>
        </is>
      </c>
      <c r="F5" s="13" t="n"/>
      <c r="G5" s="13" t="n"/>
      <c r="H5" s="13" t="n"/>
      <c r="I5" s="13" t="n"/>
      <c r="J5" s="13" t="n"/>
      <c r="K5" s="13" t="n"/>
      <c r="L5" s="13" t="inlineStr">
        <is>
          <t>A subharmonic (time-crystal-like) response demonstrates temporal displacement.</t>
        </is>
      </c>
      <c r="M5" s="13" t="inlineStr">
        <is>
          <t>UNSUPPORTED</t>
        </is>
      </c>
      <c r="N5" s="13" t="inlineStr">
        <is>
          <t>a demonstration that the subharmonic response transports a system rather than modulating an observable</t>
        </is>
      </c>
      <c r="O5" s="13" t="inlineStr">
        <is>
          <t>period doubling is ordinary nonlinear dynamics; the time-crystal literature itself makes no travel claim (A28).</t>
        </is>
      </c>
    </row>
    <row r="6">
      <c r="A6" s="13" t="inlineStr">
        <is>
          <t>TRV-004</t>
        </is>
      </c>
      <c r="B6" s="13" t="inlineStr">
        <is>
          <t>travel_claim</t>
        </is>
      </c>
      <c r="C6" s="13" t="inlineStr">
        <is>
          <t>UNSUPPORTED</t>
        </is>
      </c>
      <c r="D6" s="13" t="inlineStr">
        <is>
          <t>PUBLIC</t>
        </is>
      </c>
      <c r="E6" s="13" t="inlineStr">
        <is>
          <t>cspc.spacetime.TRAVEL_CLAIMS</t>
        </is>
      </c>
      <c r="F6" s="13" t="n"/>
      <c r="G6" s="13" t="n"/>
      <c r="H6" s="13" t="n"/>
      <c r="I6" s="13" t="n"/>
      <c r="J6" s="13" t="n"/>
      <c r="K6" s="13" t="n"/>
      <c r="L6" s="13" t="inlineStr">
        <is>
          <t>Clock-rate sensitivity shows the apparatus controls spacetime.</t>
        </is>
      </c>
      <c r="M6" s="13" t="inlineStr">
        <is>
          <t>UNSUPPORTED</t>
        </is>
      </c>
      <c r="N6" s="13" t="inlineStr">
        <is>
          <t>a demonstrated CHANGE in the local metric caused by the apparatus, distinguished from the apparatus MEASURING an ambient metric</t>
        </is>
      </c>
      <c r="O6" s="13" t="inlineStr">
        <is>
          <t>firewall CLOCK_SHIFT_TO_METRIC_CONTROL: sensing redshift is metrology. A thermometer does not heat the room.</t>
        </is>
      </c>
    </row>
    <row r="7">
      <c r="A7" s="13" t="inlineStr">
        <is>
          <t>TRV-005</t>
        </is>
      </c>
      <c r="B7" s="13" t="inlineStr">
        <is>
          <t>travel_claim</t>
        </is>
      </c>
      <c r="C7" s="13" t="inlineStr">
        <is>
          <t>UNSUPPORTED</t>
        </is>
      </c>
      <c r="D7" s="13" t="inlineStr">
        <is>
          <t>PUBLIC</t>
        </is>
      </c>
      <c r="E7" s="13" t="inlineStr">
        <is>
          <t>cspc.spacetime.TRAVEL_CLAIMS</t>
        </is>
      </c>
      <c r="F7" s="13" t="n"/>
      <c r="G7" s="13" t="n"/>
      <c r="H7" s="13" t="n"/>
      <c r="I7" s="13" t="n"/>
      <c r="J7" s="13" t="n"/>
      <c r="K7" s="13" t="n"/>
      <c r="L7" s="13" t="inlineStr">
        <is>
          <t>Frequency correspondence across 37 octaves couples acoustic and optical domains.</t>
        </is>
      </c>
      <c r="M7" s="13" t="inlineStr">
        <is>
          <t>UNSUPPORTED</t>
        </is>
      </c>
      <c r="N7" s="13" t="inlineStr">
        <is>
          <t>a measured energy transfer between the domains exceeding thermal and photoelastic backgrounds, with detuned controls</t>
        </is>
      </c>
      <c r="O7" s="13" t="inlineStr">
        <is>
          <t>an octave relation is arithmetic; no nonlinear conversion mechanism at the required efficiency is implemented or demonstrated (firewall OPTICAL_FREQUENCY_TO_PHOTON_CONVERSION).</t>
        </is>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8" customWidth="1" min="1" max="1"/>
    <col width="17" customWidth="1" min="2" max="2"/>
    <col width="16" customWidth="1" min="3" max="3"/>
    <col width="15" customWidth="1" min="4" max="4"/>
    <col width="18" customWidth="1" min="5" max="5"/>
    <col width="60" customWidth="1" min="6" max="6"/>
    <col width="12" customWidth="1" min="7" max="7"/>
    <col width="17" customWidth="1" min="8" max="8"/>
    <col width="60" customWidth="1" min="9" max="9"/>
    <col width="60" customWidth="1" min="10" max="10"/>
    <col width="18" customWidth="1" min="11" max="11"/>
    <col width="19" customWidth="1" min="12" max="12"/>
  </cols>
  <sheetData>
    <row r="1">
      <c r="A1" s="27" t="inlineStr">
        <is>
          <t>id</t>
        </is>
      </c>
      <c r="B1" s="27" t="inlineStr">
        <is>
          <t>kind</t>
        </is>
      </c>
      <c r="C1" s="27" t="inlineStr">
        <is>
          <t>evidence_class</t>
        </is>
      </c>
      <c r="D1" s="27" t="inlineStr">
        <is>
          <t>privacy_class</t>
        </is>
      </c>
      <c r="E1" s="27" t="inlineStr">
        <is>
          <t>provenance</t>
        </is>
      </c>
      <c r="F1" s="27" t="inlineStr">
        <is>
          <t>question</t>
        </is>
      </c>
      <c r="G1" s="27" t="inlineStr">
        <is>
          <t>n_controls</t>
        </is>
      </c>
      <c r="H1" s="27" t="inlineStr">
        <is>
          <t>n_per_condition</t>
        </is>
      </c>
      <c r="I1" s="27" t="inlineStr">
        <is>
          <t>blinding</t>
        </is>
      </c>
      <c r="J1" s="27" t="inlineStr">
        <is>
          <t>stopping_rule</t>
        </is>
      </c>
      <c r="K1" s="27" t="inlineStr">
        <is>
          <t>apparatus_status</t>
        </is>
      </c>
      <c r="L1" s="27" t="inlineStr">
        <is>
          <t>data_status</t>
        </is>
      </c>
    </row>
    <row r="2">
      <c r="A2" s="8" t="inlineStr">
        <is>
          <t>CSPC-EXP-FOLD-18</t>
        </is>
      </c>
      <c r="B2" s="8" t="inlineStr">
        <is>
          <t>preregistration</t>
        </is>
      </c>
      <c r="C2" s="8" t="inlineStr">
        <is>
          <t>ANALYTIC_MODEL</t>
        </is>
      </c>
      <c r="D2" s="8" t="inlineStr">
        <is>
          <t>PUBLIC</t>
        </is>
      </c>
      <c r="E2" s="8" t="inlineStr">
        <is>
          <t>cspc.experiments</t>
        </is>
      </c>
      <c r="F2" s="8" t="inlineStr">
        <is>
          <t>Does the specimen show a response at 18.25392246246337890625 Hz that it does not show at power-matched neighbouring frequencies?</t>
        </is>
      </c>
      <c r="G2" s="8" t="n">
        <v>6</v>
      </c>
      <c r="H2" s="8" t="n">
        <v>20</v>
      </c>
      <c r="I2" s="8" t="inlineStr">
        <is>
          <t>the operator and the analyst are blind to which frequency is driven; the mapping is sealed until analysis is complete</t>
        </is>
      </c>
      <c r="J2" s="8" t="inlineStr">
        <is>
          <t>fixed N of 20 blocks per condition; no interim peeking, no extension on a promising trend</t>
        </is>
      </c>
      <c r="K2" s="8" t="inlineStr">
        <is>
          <t>NOT BUILT</t>
        </is>
      </c>
      <c r="L2" s="8" t="inlineStr">
        <is>
          <t>NO DATA COLLECTED</t>
        </is>
      </c>
    </row>
    <row r="3">
      <c r="A3" s="8" t="inlineStr">
        <is>
          <t>CSPC-EXP-OPT-532</t>
        </is>
      </c>
      <c r="B3" s="8" t="inlineStr">
        <is>
          <t>preregistration</t>
        </is>
      </c>
      <c r="C3" s="8" t="inlineStr">
        <is>
          <t>ANALYTIC_MODEL</t>
        </is>
      </c>
      <c r="D3" s="8" t="inlineStr">
        <is>
          <t>PUBLIC</t>
        </is>
      </c>
      <c r="E3" s="8" t="inlineStr">
        <is>
          <t>cspc.experiments</t>
        </is>
      </c>
      <c r="F3" s="8" t="inlineStr">
        <is>
          <t>Does illumination near 532.538 nm produce a specimen response beyond power, absorption, thermal and ordinary optomechanical effects?</t>
        </is>
      </c>
      <c r="G3" s="8" t="n">
        <v>1</v>
      </c>
      <c r="H3" s="8" t="n">
        <v>20</v>
      </c>
      <c r="I3" s="8" t="inlineStr">
        <is>
          <t>analyst blind to condition labels</t>
        </is>
      </c>
      <c r="J3" s="8" t="inlineStr">
        <is>
          <t>fixed N; no extension</t>
        </is>
      </c>
      <c r="K3" s="8" t="inlineStr">
        <is>
          <t>NOT BUILT</t>
        </is>
      </c>
      <c r="L3" s="8" t="inlineStr">
        <is>
          <t>NO DATA COLLECTED</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Q5"/>
  <sheetViews>
    <sheetView workbookViewId="0">
      <pane ySplit="1" topLeftCell="A2" activePane="bottomLeft" state="frozen"/>
      <selection pane="bottomLeft" activeCell="A1" sqref="A1"/>
    </sheetView>
  </sheetViews>
  <sheetFormatPr baseColWidth="8" defaultRowHeight="15"/>
  <cols>
    <col width="20" customWidth="1" min="1" max="1"/>
    <col width="19" customWidth="1" min="2" max="2"/>
    <col width="20" customWidth="1" min="3" max="3"/>
    <col width="15" customWidth="1" min="4" max="4"/>
    <col width="39" customWidth="1" min="5" max="5"/>
    <col width="18" customWidth="1" min="6" max="6"/>
    <col width="20" customWidth="1" min="7" max="7"/>
    <col width="60" customWidth="1" min="8" max="8"/>
    <col width="16" customWidth="1" min="9" max="9"/>
    <col width="24" customWidth="1" min="10" max="10"/>
    <col width="18" customWidth="1" min="11" max="11"/>
    <col width="13" customWidth="1" min="12" max="12"/>
    <col width="24" customWidth="1" min="13" max="13"/>
    <col width="22" customWidth="1" min="14" max="14"/>
    <col width="60" customWidth="1" min="15" max="15"/>
    <col width="60" customWidth="1" min="16" max="16"/>
    <col width="60" customWidth="1" min="17" max="17"/>
  </cols>
  <sheetData>
    <row r="1">
      <c r="A1" s="27" t="inlineStr">
        <is>
          <t>id</t>
        </is>
      </c>
      <c r="B1" s="27" t="inlineStr">
        <is>
          <t>kind</t>
        </is>
      </c>
      <c r="C1" s="27" t="inlineStr">
        <is>
          <t>evidence_class</t>
        </is>
      </c>
      <c r="D1" s="27" t="inlineStr">
        <is>
          <t>privacy_class</t>
        </is>
      </c>
      <c r="E1" s="27" t="inlineStr">
        <is>
          <t>provenance</t>
        </is>
      </c>
      <c r="F1" s="27" t="inlineStr">
        <is>
          <t>closure_window_s</t>
        </is>
      </c>
      <c r="G1" s="27" t="inlineStr">
        <is>
          <t>aliases_per_second</t>
        </is>
      </c>
      <c r="H1" s="27" t="inlineStr">
        <is>
          <t>statement</t>
        </is>
      </c>
      <c r="I1" s="27" t="inlineStr">
        <is>
          <t>window_a_s</t>
        </is>
      </c>
      <c r="J1" s="27" t="inlineStr">
        <is>
          <t>window_b_s</t>
        </is>
      </c>
      <c r="K1" s="27" t="inlineStr">
        <is>
          <t>combined_range_s</t>
        </is>
      </c>
      <c r="L1" s="27" t="inlineStr">
        <is>
          <t>improvement</t>
        </is>
      </c>
      <c r="M1" s="27" t="inlineStr">
        <is>
          <t>differential_rate</t>
        </is>
      </c>
      <c r="N1" s="27" t="inlineStr">
        <is>
          <t>phase_cycles_per_day</t>
        </is>
      </c>
      <c r="O1" s="27" t="inlineStr">
        <is>
          <t>interpretation</t>
        </is>
      </c>
      <c r="P1" s="27" t="inlineStr">
        <is>
          <t>textbook_not_novel</t>
        </is>
      </c>
      <c r="Q1" s="27" t="inlineStr">
        <is>
          <t>programme_specific</t>
        </is>
      </c>
    </row>
    <row r="2">
      <c r="A2" s="7" t="inlineStr">
        <is>
          <t>PMWR-CLOSURE-ALIAS</t>
        </is>
      </c>
      <c r="B2" s="7" t="inlineStr">
        <is>
          <t>ambiguity</t>
        </is>
      </c>
      <c r="C2" s="7" t="inlineStr">
        <is>
          <t>DERIVED_ARITHMETIC</t>
        </is>
      </c>
      <c r="D2" s="7" t="inlineStr">
        <is>
          <t>PUBLIC</t>
        </is>
      </c>
      <c r="E2" s="7" t="inlineStr">
        <is>
          <t>pmwr.recovery.closure_delay_ambiguity</t>
        </is>
      </c>
      <c r="F2" s="7" t="n">
        <v>0.000244140625</v>
      </c>
      <c r="G2" s="7" t="n">
        <v>4097</v>
      </c>
      <c r="H2" s="7" t="inlineStr">
        <is>
          <t>delays tau and tau + k*W are indistinguishable for every tone in this family; exact closure IS the alias (firewall CLOSURE_REMOVES_AMBIGUITY)</t>
        </is>
      </c>
      <c r="I2" s="7" t="n"/>
      <c r="J2" s="7" t="n"/>
      <c r="K2" s="7" t="n"/>
      <c r="L2" s="7" t="n"/>
      <c r="M2" s="7" t="n"/>
      <c r="N2" s="7" t="n"/>
      <c r="O2" s="7" t="n"/>
      <c r="P2" s="7" t="n"/>
      <c r="Q2" s="7" t="n"/>
    </row>
    <row r="3">
      <c r="A3" s="7" t="inlineStr">
        <is>
          <t>PMWR-DUAL-LATTICE</t>
        </is>
      </c>
      <c r="B3" s="7" t="inlineStr">
        <is>
          <t>probe_design</t>
        </is>
      </c>
      <c r="C3" s="7" t="inlineStr">
        <is>
          <t>DERIVED_ARITHMETIC</t>
        </is>
      </c>
      <c r="D3" s="7" t="inlineStr">
        <is>
          <t>PUBLIC</t>
        </is>
      </c>
      <c r="E3" s="7" t="inlineStr">
        <is>
          <t>pmwr.recovery.dual_lattice_probe</t>
        </is>
      </c>
      <c r="F3" s="7" t="n"/>
      <c r="G3" s="7" t="n"/>
      <c r="H3" s="7" t="n"/>
      <c r="I3" s="7" t="n">
        <v>0.000244140625</v>
      </c>
      <c r="J3" s="7" t="n">
        <v>0.0002285714285714286</v>
      </c>
      <c r="K3" s="7" t="n">
        <v>1</v>
      </c>
      <c r="L3" s="7" t="n">
        <v>4096</v>
      </c>
      <c r="M3" s="7" t="n"/>
      <c r="N3" s="7" t="n"/>
      <c r="O3" s="7" t="n"/>
      <c r="P3" s="7" t="n"/>
      <c r="Q3" s="7" t="n"/>
    </row>
    <row r="4">
      <c r="A4" s="8" t="inlineStr">
        <is>
          <t>PMWR-TWO-GEODESIC</t>
        </is>
      </c>
      <c r="B4" s="8" t="inlineStr">
        <is>
          <t>worldline_channel</t>
        </is>
      </c>
      <c r="C4" s="8" t="inlineStr">
        <is>
          <t>ANALYTIC_MODEL</t>
        </is>
      </c>
      <c r="D4" s="8" t="inlineStr">
        <is>
          <t>PUBLIC</t>
        </is>
      </c>
      <c r="E4" s="8" t="inlineStr">
        <is>
          <t>pmwr.worldline.two_geodesic_case</t>
        </is>
      </c>
      <c r="F4" s="8" t="n"/>
      <c r="G4" s="8" t="n"/>
      <c r="H4" s="8" t="n"/>
      <c r="I4" s="8" t="n"/>
      <c r="J4" s="8" t="n"/>
      <c r="K4" s="8" t="n"/>
      <c r="L4" s="8" t="n"/>
      <c r="M4" s="8" t="n">
        <v>-2.862451081994667e-10</v>
      </c>
      <c r="N4" s="8" t="n">
        <v>-0.1013005408191854</v>
      </c>
      <c r="O4" s="8" t="inlineStr">
        <is>
          <t>this is clock metrology; it moves nothing and reverses nothing</t>
        </is>
      </c>
      <c r="P4" s="8" t="n"/>
      <c r="Q4" s="8" t="n"/>
    </row>
    <row r="5">
      <c r="A5" s="7" t="inlineStr">
        <is>
          <t>PMWR-NOVELTY</t>
        </is>
      </c>
      <c r="B5" s="7" t="inlineStr">
        <is>
          <t>novelty_boundary</t>
        </is>
      </c>
      <c r="C5" s="7" t="inlineStr">
        <is>
          <t>DERIVED_ARITHMETIC</t>
        </is>
      </c>
      <c r="D5" s="7" t="inlineStr">
        <is>
          <t>PUBLIC</t>
        </is>
      </c>
      <c r="E5" s="7" t="inlineStr">
        <is>
          <t>pmwr.ingest.NOVELTY_BOUNDARY</t>
        </is>
      </c>
      <c r="F5" s="7" t="n"/>
      <c r="G5" s="7" t="n"/>
      <c r="H5" s="7" t="n"/>
      <c r="I5" s="7" t="n"/>
      <c r="J5" s="7" t="n"/>
      <c r="K5" s="7" t="n"/>
      <c r="L5" s="7" t="n"/>
      <c r="M5" s="7" t="n"/>
      <c r="N5" s="7" t="n"/>
      <c r="O5" s="7" t="n"/>
      <c r="P5" s="7" t="inlineStr">
        <is>
          <t>phase-locked loops and synchronization state machines; finite-Q ringdown and oscillator holdover; multipath least-squares/sparse channel estimation; multi-wavelength integer-ambiguity resolution; relativistic clock corrections (GPS practice); acousto-optic sidebands and piezoelectric transduction</t>
        </is>
      </c>
      <c r="Q5" s="7" t="inlineStr">
        <is>
          <t>exact-rational closure-window alias analysis tied to the dyadic candidate family; dual coprime closure lattices as an ambiguity-breaking probe design; the evidence-class ladder wiring every estimate to refusal semantics; the guarded Phryll operationalization with a prohibited DETECTED state</t>
        </is>
      </c>
    </row>
  </sheetData>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29" customWidth="1" min="1" max="1"/>
    <col width="20" customWidth="1" min="2" max="2"/>
    <col width="19" customWidth="1" min="3" max="3"/>
    <col width="15" customWidth="1" min="4" max="4"/>
    <col width="34" customWidth="1" min="5" max="5"/>
    <col width="19" customWidth="1" min="6" max="6"/>
    <col width="18" customWidth="1" min="7" max="7"/>
    <col width="23" customWidth="1" min="8" max="8"/>
    <col width="25" customWidth="1" min="9" max="9"/>
    <col width="17" customWidth="1" min="10" max="10"/>
  </cols>
  <sheetData>
    <row r="1">
      <c r="A1" s="27" t="inlineStr">
        <is>
          <t>id</t>
        </is>
      </c>
      <c r="B1" s="27" t="inlineStr">
        <is>
          <t>kind</t>
        </is>
      </c>
      <c r="C1" s="27" t="inlineStr">
        <is>
          <t>evidence_class</t>
        </is>
      </c>
      <c r="D1" s="27" t="inlineStr">
        <is>
          <t>privacy_class</t>
        </is>
      </c>
      <c r="E1" s="27" t="inlineStr">
        <is>
          <t>provenance</t>
        </is>
      </c>
      <c r="F1" s="27" t="inlineStr">
        <is>
          <t>theta_deg</t>
        </is>
      </c>
      <c r="G1" s="27" t="inlineStr">
        <is>
          <t>h_over_half_base</t>
        </is>
      </c>
      <c r="H1" s="27" t="inlineStr">
        <is>
          <t>full_base_over_height</t>
        </is>
      </c>
      <c r="I1" s="27" t="inlineStr">
        <is>
          <t>abs_diff_from_pi_over_2</t>
        </is>
      </c>
      <c r="J1" s="27" t="inlineStr">
        <is>
          <t>mechanism_claim</t>
        </is>
      </c>
    </row>
    <row r="2">
      <c r="A2" s="16" t="inlineStr">
        <is>
          <t>ANGLE-360_over_7</t>
        </is>
      </c>
      <c r="B2" s="16" t="inlineStr">
        <is>
          <t>geometry_candidate</t>
        </is>
      </c>
      <c r="C2" s="16" t="inlineStr">
        <is>
          <t>GEOMETRY_IDENTITY</t>
        </is>
      </c>
      <c r="D2" s="16" t="inlineStr">
        <is>
          <t>PUBLIC</t>
        </is>
      </c>
      <c r="E2" s="16" t="inlineStr">
        <is>
          <t>pmwr.crystal.pyramid_ratio_audit</t>
        </is>
      </c>
      <c r="F2" s="16" t="n">
        <v>51.42857142857143</v>
      </c>
      <c r="G2" s="16" t="n">
        <v>1.253960337663</v>
      </c>
      <c r="H2" s="16" t="n">
        <v>1.594946777765</v>
      </c>
      <c r="I2" s="16" t="n">
        <v>0.024150451</v>
      </c>
      <c r="J2" s="16" t="inlineStr">
        <is>
          <t>REFUSED</t>
        </is>
      </c>
    </row>
    <row r="3">
      <c r="A3" s="16" t="inlineStr">
        <is>
          <t>ANGLE-51_843</t>
        </is>
      </c>
      <c r="B3" s="16" t="inlineStr">
        <is>
          <t>geometry_candidate</t>
        </is>
      </c>
      <c r="C3" s="16" t="inlineStr">
        <is>
          <t>GEOMETRY_IDENTITY</t>
        </is>
      </c>
      <c r="D3" s="16" t="inlineStr">
        <is>
          <t>PUBLIC</t>
        </is>
      </c>
      <c r="E3" s="16" t="inlineStr">
        <is>
          <t>pmwr.crystal.pyramid_ratio_audit</t>
        </is>
      </c>
      <c r="F3" s="16" t="n">
        <v>51.843</v>
      </c>
      <c r="G3" s="16" t="n">
        <v>1.272737633428</v>
      </c>
      <c r="H3" s="16" t="n">
        <v>1.571415779239</v>
      </c>
      <c r="I3" s="16" t="n">
        <v>0.000619452</v>
      </c>
      <c r="J3" s="16" t="inlineStr">
        <is>
          <t>REFUSED</t>
        </is>
      </c>
    </row>
    <row r="4">
      <c r="A4" s="16" t="inlineStr">
        <is>
          <t>ANGLE-51_51_51_DMS</t>
        </is>
      </c>
      <c r="B4" s="16" t="inlineStr">
        <is>
          <t>geometry_candidate</t>
        </is>
      </c>
      <c r="C4" s="16" t="inlineStr">
        <is>
          <t>GEOMETRY_IDENTITY</t>
        </is>
      </c>
      <c r="D4" s="16" t="inlineStr">
        <is>
          <t>PUBLIC</t>
        </is>
      </c>
      <c r="E4" s="16" t="inlineStr">
        <is>
          <t>pmwr.crystal.pyramid_ratio_audit</t>
        </is>
      </c>
      <c r="F4" s="16" t="n">
        <v>51.86416666666667</v>
      </c>
      <c r="G4" s="16" t="n">
        <v>1.273705938861</v>
      </c>
      <c r="H4" s="16" t="n">
        <v>1.570221146797</v>
      </c>
      <c r="I4" s="16" t="n">
        <v>0.00057518</v>
      </c>
      <c r="J4" s="16" t="inlineStr">
        <is>
          <t>REFUSED</t>
        </is>
      </c>
    </row>
    <row r="5">
      <c r="A5" s="16" t="inlineStr">
        <is>
          <t>ANGLE-Great_Pyramid_nominal</t>
        </is>
      </c>
      <c r="B5" s="16" t="inlineStr">
        <is>
          <t>geometry_candidate</t>
        </is>
      </c>
      <c r="C5" s="16" t="inlineStr">
        <is>
          <t>GEOMETRY_IDENTITY</t>
        </is>
      </c>
      <c r="D5" s="16" t="inlineStr">
        <is>
          <t>PUBLIC</t>
        </is>
      </c>
      <c r="E5" s="16" t="inlineStr">
        <is>
          <t>pmwr.crystal.pyramid_ratio_audit</t>
        </is>
      </c>
      <c r="F5" s="16" t="n">
        <v>51.84</v>
      </c>
      <c r="G5" s="16" t="n">
        <v>1.272600466963</v>
      </c>
      <c r="H5" s="16" t="n">
        <v>1.57158515333</v>
      </c>
      <c r="I5" s="16" t="n">
        <v>0.000788827</v>
      </c>
      <c r="J5" s="16" t="inlineStr">
        <is>
          <t>REFUSED</t>
        </is>
      </c>
    </row>
    <row r="6">
      <c r="A6" s="16" t="inlineStr">
        <is>
          <t>ANGLE-rounded_52</t>
        </is>
      </c>
      <c r="B6" s="16" t="inlineStr">
        <is>
          <t>geometry_candidate</t>
        </is>
      </c>
      <c r="C6" s="16" t="inlineStr">
        <is>
          <t>GEOMETRY_IDENTITY</t>
        </is>
      </c>
      <c r="D6" s="16" t="inlineStr">
        <is>
          <t>PUBLIC</t>
        </is>
      </c>
      <c r="E6" s="16" t="inlineStr">
        <is>
          <t>pmwr.crystal.pyramid_ratio_audit</t>
        </is>
      </c>
      <c r="F6" s="16" t="n">
        <v>52</v>
      </c>
      <c r="G6" s="16" t="n">
        <v>1.279941632193</v>
      </c>
      <c r="H6" s="16" t="n">
        <v>1.562571253013</v>
      </c>
      <c r="I6" s="16" t="n">
        <v>0.008225074000000001</v>
      </c>
      <c r="J6" s="16" t="inlineStr">
        <is>
          <t>REFUSED</t>
        </is>
      </c>
    </row>
    <row r="7">
      <c r="A7" s="16" t="inlineStr">
        <is>
          <t>ANGLE-emitter_58</t>
        </is>
      </c>
      <c r="B7" s="16" t="inlineStr">
        <is>
          <t>geometry_candidate</t>
        </is>
      </c>
      <c r="C7" s="16" t="inlineStr">
        <is>
          <t>GEOMETRY_IDENTITY</t>
        </is>
      </c>
      <c r="D7" s="16" t="inlineStr">
        <is>
          <t>PUBLIC</t>
        </is>
      </c>
      <c r="E7" s="16" t="inlineStr">
        <is>
          <t>pmwr.crystal.pyramid_ratio_audit</t>
        </is>
      </c>
      <c r="F7" s="16" t="n">
        <v>58</v>
      </c>
      <c r="G7" s="16" t="n">
        <v>1.600334529041</v>
      </c>
      <c r="H7" s="16" t="n">
        <v>1.249738703819</v>
      </c>
      <c r="I7" s="16" t="n">
        <v>0.321057623</v>
      </c>
      <c r="J7" s="16" t="inlineStr">
        <is>
          <t>REFUSED</t>
        </is>
      </c>
    </row>
    <row r="8">
      <c r="A8" s="16" t="inlineStr">
        <is>
          <t>ANGLE-emitter_60</t>
        </is>
      </c>
      <c r="B8" s="16" t="inlineStr">
        <is>
          <t>geometry_candidate</t>
        </is>
      </c>
      <c r="C8" s="16" t="inlineStr">
        <is>
          <t>GEOMETRY_IDENTITY</t>
        </is>
      </c>
      <c r="D8" s="16" t="inlineStr">
        <is>
          <t>PUBLIC</t>
        </is>
      </c>
      <c r="E8" s="16" t="inlineStr">
        <is>
          <t>pmwr.crystal.pyramid_ratio_audit</t>
        </is>
      </c>
      <c r="F8" s="16" t="n">
        <v>60</v>
      </c>
      <c r="G8" s="16" t="n">
        <v>1.732050807569</v>
      </c>
      <c r="H8" s="16" t="n">
        <v>1.154700538379</v>
      </c>
      <c r="I8" s="16" t="n">
        <v>0.416095788</v>
      </c>
      <c r="J8" s="16" t="inlineStr">
        <is>
          <t>REFUSED</t>
        </is>
      </c>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5"/>
  <cols>
    <col width="38" customWidth="1" min="1" max="1"/>
    <col width="23" customWidth="1" min="2" max="2"/>
    <col width="20" customWidth="1" min="3" max="3"/>
    <col width="15" customWidth="1" min="4" max="4"/>
    <col width="44" customWidth="1" min="5" max="5"/>
    <col width="60" customWidth="1" min="6" max="6"/>
    <col width="23" customWidth="1" min="7" max="7"/>
    <col width="60" customWidth="1" min="8" max="8"/>
    <col width="22" customWidth="1" min="9" max="9"/>
    <col width="60" customWidth="1" min="10" max="10"/>
    <col width="60" customWidth="1" min="11" max="11"/>
    <col width="18" customWidth="1" min="12" max="12"/>
    <col width="19" customWidth="1" min="13" max="13"/>
  </cols>
  <sheetData>
    <row r="1">
      <c r="A1" s="27" t="inlineStr">
        <is>
          <t>id</t>
        </is>
      </c>
      <c r="B1" s="27" t="inlineStr">
        <is>
          <t>kind</t>
        </is>
      </c>
      <c r="C1" s="27" t="inlineStr">
        <is>
          <t>evidence_class</t>
        </is>
      </c>
      <c r="D1" s="27" t="inlineStr">
        <is>
          <t>privacy_class</t>
        </is>
      </c>
      <c r="E1" s="27" t="inlineStr">
        <is>
          <t>provenance</t>
        </is>
      </c>
      <c r="F1" s="27" t="inlineStr">
        <is>
          <t>ladder</t>
        </is>
      </c>
      <c r="G1" s="27" t="inlineStr">
        <is>
          <t>detected_state_exists</t>
        </is>
      </c>
      <c r="H1" s="27" t="inlineStr">
        <is>
          <t>operator_note_sha256</t>
        </is>
      </c>
      <c r="I1" s="27" t="inlineStr">
        <is>
          <t>note_status</t>
        </is>
      </c>
      <c r="J1" s="27" t="inlineStr">
        <is>
          <t>refusal</t>
        </is>
      </c>
      <c r="K1" s="27" t="inlineStr">
        <is>
          <t>question</t>
        </is>
      </c>
      <c r="L1" s="27" t="inlineStr">
        <is>
          <t>apparatus_status</t>
        </is>
      </c>
      <c r="M1" s="27" t="inlineStr">
        <is>
          <t>data_status</t>
        </is>
      </c>
    </row>
    <row r="2">
      <c r="A2" s="6" t="inlineStr">
        <is>
          <t>PHRYLL-OPERATIONALIZATION</t>
        </is>
      </c>
      <c r="B2" s="6" t="inlineStr">
        <is>
          <t>latent_definition</t>
        </is>
      </c>
      <c r="C2" s="6" t="inlineStr">
        <is>
          <t>SOURCE_CLAIM</t>
        </is>
      </c>
      <c r="D2" s="6" t="inlineStr">
        <is>
          <t>PUBLIC</t>
        </is>
      </c>
      <c r="E2" s="6" t="inlineStr">
        <is>
          <t>pack core/06; pmwr.crystal.PROMOTION_GATES</t>
        </is>
      </c>
      <c r="F2" s="6" t="inlineStr">
        <is>
          <t>SOURCE_CLAIM -&gt; OPERATIONAL_HYPOTHESIS -&gt; UNEXPLAINED_INSTRUMENT_RESIDUAL -&gt; REPLICATED_ANOMALY -&gt; CANDIDATE_NEW_MECHANISM</t>
        </is>
      </c>
      <c r="G2" s="6" t="b">
        <v>0</v>
      </c>
      <c r="H2" s="6" t="inlineStr">
        <is>
          <t>fff2f47e7c690eeda59fc6cc2d8e968d32a94f891155473aa65dbc592cb223d9</t>
        </is>
      </c>
      <c r="I2" s="6" t="inlineStr">
        <is>
          <t>LORE,HYPOTHESIS_SEED</t>
        </is>
      </c>
      <c r="J2" s="6" t="n"/>
      <c r="K2" s="6" t="n"/>
      <c r="L2" s="6" t="n"/>
      <c r="M2" s="6" t="n"/>
    </row>
    <row r="3">
      <c r="A3" s="7" t="inlineStr">
        <is>
          <t>FIREWALL-PERFECT_ABSOLUTE_PHASE</t>
        </is>
      </c>
      <c r="B3" s="7" t="inlineStr">
        <is>
          <t>firewall</t>
        </is>
      </c>
      <c r="C3" s="7" t="inlineStr">
        <is>
          <t>DERIVED_ARITHMETIC</t>
        </is>
      </c>
      <c r="D3" s="7" t="inlineStr">
        <is>
          <t>PUBLIC</t>
        </is>
      </c>
      <c r="E3" s="7" t="inlineStr">
        <is>
          <t>pmwr.FIREWALLS</t>
        </is>
      </c>
      <c r="F3" s="7" t="n"/>
      <c r="G3" s="7" t="n"/>
      <c r="H3" s="7" t="n"/>
      <c r="I3" s="7" t="n"/>
      <c r="J3" s="7" t="inlineStr">
        <is>
          <t>quartz does not store perfect absolute phase; coherence is finite and phase is modulo 2*pi</t>
        </is>
      </c>
      <c r="K3" s="7" t="n"/>
      <c r="L3" s="7" t="n"/>
      <c r="M3" s="7" t="n"/>
    </row>
    <row r="4">
      <c r="A4" s="7" t="inlineStr">
        <is>
          <t>FIREWALL-ENVIRONMENTAL_IMMUNITY</t>
        </is>
      </c>
      <c r="B4" s="7" t="inlineStr">
        <is>
          <t>firewall</t>
        </is>
      </c>
      <c r="C4" s="7" t="inlineStr">
        <is>
          <t>DERIVED_ARITHMETIC</t>
        </is>
      </c>
      <c r="D4" s="7" t="inlineStr">
        <is>
          <t>PUBLIC</t>
        </is>
      </c>
      <c r="E4" s="7" t="inlineStr">
        <is>
          <t>pmwr.FIREWALLS</t>
        </is>
      </c>
      <c r="F4" s="7" t="n"/>
      <c r="G4" s="7" t="n"/>
      <c r="H4" s="7" t="n"/>
      <c r="I4" s="7" t="n"/>
      <c r="J4" s="7" t="inlineStr">
        <is>
          <t>a local crystal is not immune to motion, gravity, temperature, aging, mounting, or drive electronics</t>
        </is>
      </c>
      <c r="K4" s="7" t="n"/>
      <c r="L4" s="7" t="n"/>
      <c r="M4" s="7" t="n"/>
    </row>
    <row r="5">
      <c r="A5" s="7" t="inlineStr">
        <is>
          <t>FIREWALL-ONE_RESIDUAL_ONE_PATH</t>
        </is>
      </c>
      <c r="B5" s="7" t="inlineStr">
        <is>
          <t>firewall</t>
        </is>
      </c>
      <c r="C5" s="7" t="inlineStr">
        <is>
          <t>DERIVED_ARITHMETIC</t>
        </is>
      </c>
      <c r="D5" s="7" t="inlineStr">
        <is>
          <t>PUBLIC</t>
        </is>
      </c>
      <c r="E5" s="7" t="inlineStr">
        <is>
          <t>pmwr.FIREWALLS</t>
        </is>
      </c>
      <c r="F5" s="7" t="n"/>
      <c r="G5" s="7" t="n"/>
      <c r="H5" s="7" t="n"/>
      <c r="I5" s="7" t="n"/>
      <c r="J5" s="7" t="inlineStr">
        <is>
          <t>one scalar residual does not uniquely reveal one path; multiple path histories can explain one observation</t>
        </is>
      </c>
      <c r="K5" s="7" t="n"/>
      <c r="L5" s="7" t="n"/>
      <c r="M5" s="7" t="n"/>
    </row>
    <row r="6">
      <c r="A6" s="7" t="inlineStr">
        <is>
          <t>FIREWALL-CLOSURE_REMOVES_AMBIGUITY</t>
        </is>
      </c>
      <c r="B6" s="7" t="inlineStr">
        <is>
          <t>firewall</t>
        </is>
      </c>
      <c r="C6" s="7" t="inlineStr">
        <is>
          <t>DERIVED_ARITHMETIC</t>
        </is>
      </c>
      <c r="D6" s="7" t="inlineStr">
        <is>
          <t>PUBLIC</t>
        </is>
      </c>
      <c r="E6" s="7" t="inlineStr">
        <is>
          <t>pmwr.FIREWALLS</t>
        </is>
      </c>
      <c r="F6" s="7" t="n"/>
      <c r="G6" s="7" t="n"/>
      <c r="H6" s="7" t="n"/>
      <c r="I6" s="7" t="n"/>
      <c r="J6" s="7" t="inlineStr">
        <is>
          <t>exact closure does not remove delay ambiguity — it IS a delay alias at multiples of the closure window</t>
        </is>
      </c>
      <c r="K6" s="7" t="n"/>
      <c r="L6" s="7" t="n"/>
      <c r="M6" s="7" t="n"/>
    </row>
    <row r="7">
      <c r="A7" s="7" t="inlineStr">
        <is>
          <t>FIREWALL-4096_PRIVILEGED</t>
        </is>
      </c>
      <c r="B7" s="7" t="inlineStr">
        <is>
          <t>firewall</t>
        </is>
      </c>
      <c r="C7" s="7" t="inlineStr">
        <is>
          <t>DERIVED_ARITHMETIC</t>
        </is>
      </c>
      <c r="D7" s="7" t="inlineStr">
        <is>
          <t>PUBLIC</t>
        </is>
      </c>
      <c r="E7" s="7" t="inlineStr">
        <is>
          <t>pmwr.FIREWALLS</t>
        </is>
      </c>
      <c r="F7" s="7" t="n"/>
      <c r="G7" s="7" t="n"/>
      <c r="H7" s="7" t="n"/>
      <c r="I7" s="7" t="n"/>
      <c r="J7" s="7" t="inlineStr">
        <is>
          <t>4096 Hz is not privileged by nature (v4.6 corpus result: the simplicity metric measures human convention)</t>
        </is>
      </c>
      <c r="K7" s="7" t="n"/>
      <c r="L7" s="7" t="n"/>
      <c r="M7" s="7" t="n"/>
    </row>
    <row r="8">
      <c r="A8" s="7" t="inlineStr">
        <is>
          <t>FIREWALL-PYRAMID_PROVES_MECHANISM</t>
        </is>
      </c>
      <c r="B8" s="7" t="inlineStr">
        <is>
          <t>firewall</t>
        </is>
      </c>
      <c r="C8" s="7" t="inlineStr">
        <is>
          <t>DERIVED_ARITHMETIC</t>
        </is>
      </c>
      <c r="D8" s="7" t="inlineStr">
        <is>
          <t>PUBLIC</t>
        </is>
      </c>
      <c r="E8" s="7" t="inlineStr">
        <is>
          <t>pmwr.FIREWALLS</t>
        </is>
      </c>
      <c r="F8" s="7" t="n"/>
      <c r="G8" s="7" t="n"/>
      <c r="H8" s="7" t="n"/>
      <c r="I8" s="7" t="n"/>
      <c r="J8" s="7" t="inlineStr">
        <is>
          <t>the Great Pyramid angle proves no mechanism; the ratio is a geometry observation</t>
        </is>
      </c>
      <c r="K8" s="7" t="n"/>
      <c r="L8" s="7" t="n"/>
      <c r="M8" s="7" t="n"/>
    </row>
    <row r="9">
      <c r="A9" s="7" t="inlineStr">
        <is>
          <t>FIREWALL-ANGLE_PROVES_DIRECTIONALITY</t>
        </is>
      </c>
      <c r="B9" s="7" t="inlineStr">
        <is>
          <t>firewall</t>
        </is>
      </c>
      <c r="C9" s="7" t="inlineStr">
        <is>
          <t>DERIVED_ARITHMETIC</t>
        </is>
      </c>
      <c r="D9" s="7" t="inlineStr">
        <is>
          <t>PUBLIC</t>
        </is>
      </c>
      <c r="E9" s="7" t="inlineStr">
        <is>
          <t>pmwr.FIREWALLS</t>
        </is>
      </c>
      <c r="F9" s="7" t="n"/>
      <c r="G9" s="7" t="n"/>
      <c r="H9" s="7" t="n"/>
      <c r="I9" s="7" t="n"/>
      <c r="J9" s="7" t="inlineStr">
        <is>
          <t>51.843/60 degree terminations do not prove directional energy flow; directionality requires both-orientation tests with matched controls</t>
        </is>
      </c>
      <c r="K9" s="7" t="n"/>
      <c r="L9" s="7" t="n"/>
      <c r="M9" s="7" t="n"/>
    </row>
    <row r="10">
      <c r="A10" s="7" t="inlineStr">
        <is>
          <t>FIREWALL-SENSOR_CHANGE_IS_PHRYLL</t>
        </is>
      </c>
      <c r="B10" s="7" t="inlineStr">
        <is>
          <t>firewall</t>
        </is>
      </c>
      <c r="C10" s="7" t="inlineStr">
        <is>
          <t>DERIVED_ARITHMETIC</t>
        </is>
      </c>
      <c r="D10" s="7" t="inlineStr">
        <is>
          <t>PUBLIC</t>
        </is>
      </c>
      <c r="E10" s="7" t="inlineStr">
        <is>
          <t>pmwr.FIREWALLS</t>
        </is>
      </c>
      <c r="F10" s="7" t="n"/>
      <c r="G10" s="7" t="n"/>
      <c r="H10" s="7" t="n"/>
      <c r="I10" s="7" t="n"/>
      <c r="J10" s="7" t="inlineStr">
        <is>
          <t>a sensor change equals a sensor change; Phryll is an unresolved source term, not a channel</t>
        </is>
      </c>
      <c r="K10" s="7" t="n"/>
      <c r="L10" s="7" t="n"/>
      <c r="M10" s="7" t="n"/>
    </row>
    <row r="11">
      <c r="A11" s="7" t="inlineStr">
        <is>
          <t>FIREWALL-DEVICE_MIRACLES</t>
        </is>
      </c>
      <c r="B11" s="7" t="inlineStr">
        <is>
          <t>firewall</t>
        </is>
      </c>
      <c r="C11" s="7" t="inlineStr">
        <is>
          <t>DERIVED_ARITHMETIC</t>
        </is>
      </c>
      <c r="D11" s="7" t="inlineStr">
        <is>
          <t>PUBLIC</t>
        </is>
      </c>
      <c r="E11" s="7" t="inlineStr">
        <is>
          <t>pmwr.FIREWALLS</t>
        </is>
      </c>
      <c r="F11" s="7" t="n"/>
      <c r="G11" s="7" t="n"/>
      <c r="H11" s="7" t="n"/>
      <c r="I11" s="7" t="n"/>
      <c r="J11" s="7" t="inlineStr">
        <is>
          <t>the device creates none of: antigravity, free energy, torsion energy, metric curvature, consciousness transfer, healing, time travel</t>
        </is>
      </c>
      <c r="K11" s="7" t="n"/>
      <c r="L11" s="7" t="n"/>
      <c r="M11" s="7" t="n"/>
    </row>
    <row r="12">
      <c r="A12" s="7" t="inlineStr">
        <is>
          <t>FIREWALL-REORDER_IS_REVERSAL</t>
        </is>
      </c>
      <c r="B12" s="7" t="inlineStr">
        <is>
          <t>firewall</t>
        </is>
      </c>
      <c r="C12" s="7" t="inlineStr">
        <is>
          <t>DERIVED_ARITHMETIC</t>
        </is>
      </c>
      <c r="D12" s="7" t="inlineStr">
        <is>
          <t>PUBLIC</t>
        </is>
      </c>
      <c r="E12" s="7" t="inlineStr">
        <is>
          <t>pmwr.FIREWALLS</t>
        </is>
      </c>
      <c r="F12" s="7" t="n"/>
      <c r="G12" s="7" t="n"/>
      <c r="H12" s="7" t="n"/>
      <c r="I12" s="7" t="n"/>
      <c r="J12" s="7" t="inlineStr">
        <is>
          <t>arrival reordering is not causal reversal; emission order is fixed on the worldline</t>
        </is>
      </c>
      <c r="K12" s="7" t="n"/>
      <c r="L12" s="7" t="n"/>
      <c r="M12" s="7" t="n"/>
    </row>
    <row r="13">
      <c r="A13" s="8" t="inlineStr">
        <is>
          <t>PMWR-BENCH-DIRECTIONAL</t>
        </is>
      </c>
      <c r="B13" s="8" t="inlineStr">
        <is>
          <t>bench_preregistration</t>
        </is>
      </c>
      <c r="C13" s="8" t="inlineStr">
        <is>
          <t>ANALYTIC_MODEL</t>
        </is>
      </c>
      <c r="D13" s="8" t="inlineStr">
        <is>
          <t>PUBLIC</t>
        </is>
      </c>
      <c r="E13" s="8" t="inlineStr">
        <is>
          <t>pmwr.benches</t>
        </is>
      </c>
      <c r="F13" s="8" t="n"/>
      <c r="G13" s="8" t="n"/>
      <c r="H13" s="8" t="n"/>
      <c r="I13" s="8" t="n"/>
      <c r="J13" s="8" t="n"/>
      <c r="K13" s="8" t="inlineStr">
        <is>
          <t>Does any ordinary output channel differ between top-up and top-down orientations of the same asymmetrically terminated crystal under identical drive?</t>
        </is>
      </c>
      <c r="L13" s="8" t="inlineStr">
        <is>
          <t>NOT BUILT</t>
        </is>
      </c>
      <c r="M13" s="8" t="inlineStr">
        <is>
          <t>NO DATA COLLECTED</t>
        </is>
      </c>
    </row>
    <row r="14">
      <c r="A14" s="8" t="inlineStr">
        <is>
          <t>PMWR-BENCH-SELFOSC</t>
        </is>
      </c>
      <c r="B14" s="8" t="inlineStr">
        <is>
          <t>bench_preregistration</t>
        </is>
      </c>
      <c r="C14" s="8" t="inlineStr">
        <is>
          <t>ANALYTIC_MODEL</t>
        </is>
      </c>
      <c r="D14" s="8" t="inlineStr">
        <is>
          <t>PUBLIC</t>
        </is>
      </c>
      <c r="E14" s="8" t="inlineStr">
        <is>
          <t>pmwr.benches</t>
        </is>
      </c>
      <c r="F14" s="8" t="n"/>
      <c r="G14" s="8" t="n"/>
      <c r="H14" s="8" t="n"/>
      <c r="I14" s="8" t="n"/>
      <c r="J14" s="8" t="n"/>
      <c r="K14" s="8" t="inlineStr">
        <is>
          <t>Does a closed feedback loop sustain oscillation, and does EVERY oscillation cease when the loop is opened or the supply is removed?</t>
        </is>
      </c>
      <c r="L14" s="8" t="inlineStr">
        <is>
          <t>NOT BUILT</t>
        </is>
      </c>
      <c r="M14" s="8" t="inlineStr">
        <is>
          <t>NO DATA COLLECTED</t>
        </is>
      </c>
    </row>
    <row r="15">
      <c r="A15" s="8" t="inlineStr">
        <is>
          <t>PMWR-BENCH-SHAM</t>
        </is>
      </c>
      <c r="B15" s="8" t="inlineStr">
        <is>
          <t>bench_preregistration</t>
        </is>
      </c>
      <c r="C15" s="8" t="inlineStr">
        <is>
          <t>ANALYTIC_MODEL</t>
        </is>
      </c>
      <c r="D15" s="8" t="inlineStr">
        <is>
          <t>PUBLIC</t>
        </is>
      </c>
      <c r="E15" s="8" t="inlineStr">
        <is>
          <t>pmwr.benches</t>
        </is>
      </c>
      <c r="F15" s="8" t="n"/>
      <c r="G15" s="8" t="n"/>
      <c r="H15" s="8" t="n"/>
      <c r="I15" s="8" t="n"/>
      <c r="J15" s="8" t="n"/>
      <c r="K15" s="8" t="inlineStr">
        <is>
          <t>Do observers report effects when the drive is visibly 'on' but the output stage is disconnected?</t>
        </is>
      </c>
      <c r="L15" s="8" t="inlineStr">
        <is>
          <t>NOT BUILT</t>
        </is>
      </c>
      <c r="M15" s="8" t="inlineStr">
        <is>
          <t>NO DATA COLLECTED</t>
        </is>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54" customWidth="1" min="1" max="1"/>
    <col width="20" customWidth="1" min="2" max="2"/>
    <col width="20" customWidth="1" min="3" max="3"/>
    <col width="15" customWidth="1" min="4" max="4"/>
    <col width="40" customWidth="1" min="5" max="5"/>
    <col width="23" customWidth="1" min="6" max="6"/>
    <col width="23" customWidth="1" min="7" max="7"/>
    <col width="60" customWidth="1" min="8" max="8"/>
    <col width="10" customWidth="1" min="9" max="9"/>
    <col width="10" customWidth="1" min="10" max="10"/>
    <col width="43" customWidth="1" min="11" max="11"/>
    <col width="60" customWidth="1" min="12" max="12"/>
  </cols>
  <sheetData>
    <row r="1">
      <c r="A1" s="27" t="inlineStr">
        <is>
          <t>id</t>
        </is>
      </c>
      <c r="B1" s="27" t="inlineStr">
        <is>
          <t>kind</t>
        </is>
      </c>
      <c r="C1" s="27" t="inlineStr">
        <is>
          <t>evidence_class</t>
        </is>
      </c>
      <c r="D1" s="27" t="inlineStr">
        <is>
          <t>privacy_class</t>
        </is>
      </c>
      <c r="E1" s="27" t="inlineStr">
        <is>
          <t>provenance</t>
        </is>
      </c>
      <c r="F1" s="27" t="inlineStr">
        <is>
          <t>candidates_per_second</t>
        </is>
      </c>
      <c r="G1" s="27" t="inlineStr">
        <is>
          <t>status</t>
        </is>
      </c>
      <c r="H1" s="27" t="inlineStr">
        <is>
          <t>statement</t>
        </is>
      </c>
      <c r="I1" s="27" t="inlineStr">
        <is>
          <t>beat_hz</t>
        </is>
      </c>
      <c r="J1" s="27" t="inlineStr">
        <is>
          <t>resolved</t>
        </is>
      </c>
      <c r="K1" s="27" t="inlineStr">
        <is>
          <t>note</t>
        </is>
      </c>
      <c r="L1" s="27" t="inlineStr">
        <is>
          <t>refusal</t>
        </is>
      </c>
    </row>
    <row r="2">
      <c r="A2" s="7" t="inlineStr">
        <is>
          <t>R3-ZERO-RESIDUAL-ALIASES</t>
        </is>
      </c>
      <c r="B2" s="7" t="inlineStr">
        <is>
          <t>alias_audit</t>
        </is>
      </c>
      <c r="C2" s="7" t="inlineStr">
        <is>
          <t>DERIVED_ARITHMETIC</t>
        </is>
      </c>
      <c r="D2" s="7" t="inlineStr">
        <is>
          <t>PUBLIC</t>
        </is>
      </c>
      <c r="E2" s="7" t="inlineStr">
        <is>
          <t>r3.root_space.zero_residual_aliases</t>
        </is>
      </c>
      <c r="F2" s="7" t="n">
        <v>4097</v>
      </c>
      <c r="G2" s="7" t="inlineStr">
        <is>
          <t>ROOT_ALIAS_UNRESOLVED</t>
        </is>
      </c>
      <c r="H2" s="7" t="inlineStr">
        <is>
          <t>wrap(residual)=0 admits integer-cycle aliases; a zero of the wrapped residual is a candidate, never a root</t>
        </is>
      </c>
      <c r="I2" s="7" t="n"/>
      <c r="J2" s="7" t="n"/>
      <c r="K2" s="7" t="n"/>
      <c r="L2" s="7" t="n"/>
    </row>
    <row r="3">
      <c r="A3" s="7" t="inlineStr">
        <is>
          <t>R3-DUAL-LATTICE-ROOT</t>
        </is>
      </c>
      <c r="B3" s="7" t="inlineStr">
        <is>
          <t>disambiguation</t>
        </is>
      </c>
      <c r="C3" s="7" t="inlineStr">
        <is>
          <t>DERIVED_ARITHMETIC</t>
        </is>
      </c>
      <c r="D3" s="7" t="inlineStr">
        <is>
          <t>PUBLIC</t>
        </is>
      </c>
      <c r="E3" s="7" t="inlineStr">
        <is>
          <t>r3.root_space.dual_lattice_root_search</t>
        </is>
      </c>
      <c r="F3" s="7" t="n"/>
      <c r="G3" s="7" t="n"/>
      <c r="H3" s="7" t="n"/>
      <c r="I3" s="7" t="n">
        <v>279</v>
      </c>
      <c r="J3" s="7" t="b">
        <v>1</v>
      </c>
      <c r="K3" s="7" t="n"/>
      <c r="L3" s="7" t="n"/>
    </row>
    <row r="4">
      <c r="A4" s="7" t="inlineStr">
        <is>
          <t>ROOT-CLASS-SYNTHETIC_HIERARCHY_ROOT</t>
        </is>
      </c>
      <c r="B4" s="7" t="inlineStr">
        <is>
          <t>root_class</t>
        </is>
      </c>
      <c r="C4" s="7" t="inlineStr">
        <is>
          <t>DERIVED_ARITHMETIC</t>
        </is>
      </c>
      <c r="D4" s="7" t="inlineStr">
        <is>
          <t>PUBLIC</t>
        </is>
      </c>
      <c r="E4" s="7" t="inlineStr">
        <is>
          <t>pack core/16</t>
        </is>
      </c>
      <c r="F4" s="7" t="n"/>
      <c r="G4" s="7" t="n"/>
      <c r="H4" s="7" t="n"/>
      <c r="I4" s="7" t="n"/>
      <c r="J4" s="7" t="n"/>
      <c r="K4" s="7" t="inlineStr">
        <is>
          <t>typed root class; none is a vacuum origin</t>
        </is>
      </c>
      <c r="L4" s="7" t="n"/>
    </row>
    <row r="5">
      <c r="A5" s="7" t="inlineStr">
        <is>
          <t>ROOT-CLASS-PHASE_AUTHORITY_ROOT</t>
        </is>
      </c>
      <c r="B5" s="7" t="inlineStr">
        <is>
          <t>root_class</t>
        </is>
      </c>
      <c r="C5" s="7" t="inlineStr">
        <is>
          <t>DERIVED_ARITHMETIC</t>
        </is>
      </c>
      <c r="D5" s="7" t="inlineStr">
        <is>
          <t>PUBLIC</t>
        </is>
      </c>
      <c r="E5" s="7" t="inlineStr">
        <is>
          <t>pack core/16</t>
        </is>
      </c>
      <c r="F5" s="7" t="n"/>
      <c r="G5" s="7" t="n"/>
      <c r="H5" s="7" t="n"/>
      <c r="I5" s="7" t="n"/>
      <c r="J5" s="7" t="n"/>
      <c r="K5" s="7" t="inlineStr">
        <is>
          <t>typed root class; none is a vacuum origin</t>
        </is>
      </c>
      <c r="L5" s="7" t="n"/>
    </row>
    <row r="6">
      <c r="A6" s="7" t="inlineStr">
        <is>
          <t>ROOT-CLASS-CALIBRATED_INSTRUMENT_ROOT</t>
        </is>
      </c>
      <c r="B6" s="7" t="inlineStr">
        <is>
          <t>root_class</t>
        </is>
      </c>
      <c r="C6" s="7" t="inlineStr">
        <is>
          <t>DERIVED_ARITHMETIC</t>
        </is>
      </c>
      <c r="D6" s="7" t="inlineStr">
        <is>
          <t>PUBLIC</t>
        </is>
      </c>
      <c r="E6" s="7" t="inlineStr">
        <is>
          <t>pack core/16</t>
        </is>
      </c>
      <c r="F6" s="7" t="n"/>
      <c r="G6" s="7" t="n"/>
      <c r="H6" s="7" t="n"/>
      <c r="I6" s="7" t="n"/>
      <c r="J6" s="7" t="n"/>
      <c r="K6" s="7" t="inlineStr">
        <is>
          <t>typed root class; none is a vacuum origin</t>
        </is>
      </c>
      <c r="L6" s="7" t="n"/>
    </row>
    <row r="7">
      <c r="A7" s="7" t="inlineStr">
        <is>
          <t>ROOT-CLASS-RECONSTRUCTED_SOURCE_STATE_ROOT</t>
        </is>
      </c>
      <c r="B7" s="7" t="inlineStr">
        <is>
          <t>root_class</t>
        </is>
      </c>
      <c r="C7" s="7" t="inlineStr">
        <is>
          <t>DERIVED_ARITHMETIC</t>
        </is>
      </c>
      <c r="D7" s="7" t="inlineStr">
        <is>
          <t>PUBLIC</t>
        </is>
      </c>
      <c r="E7" s="7" t="inlineStr">
        <is>
          <t>pack core/16</t>
        </is>
      </c>
      <c r="F7" s="7" t="n"/>
      <c r="G7" s="7" t="n"/>
      <c r="H7" s="7" t="n"/>
      <c r="I7" s="7" t="n"/>
      <c r="J7" s="7" t="n"/>
      <c r="K7" s="7" t="inlineStr">
        <is>
          <t>typed root class; none is a vacuum origin</t>
        </is>
      </c>
      <c r="L7" s="7" t="n"/>
    </row>
    <row r="8">
      <c r="A8" s="7" t="inlineStr">
        <is>
          <t>ROOT-CLASS-PHYSICAL_REFERENCE_NETWORK_ROOT</t>
        </is>
      </c>
      <c r="B8" s="7" t="inlineStr">
        <is>
          <t>root_class</t>
        </is>
      </c>
      <c r="C8" s="7" t="inlineStr">
        <is>
          <t>DERIVED_ARITHMETIC</t>
        </is>
      </c>
      <c r="D8" s="7" t="inlineStr">
        <is>
          <t>PUBLIC</t>
        </is>
      </c>
      <c r="E8" s="7" t="inlineStr">
        <is>
          <t>pack core/16</t>
        </is>
      </c>
      <c r="F8" s="7" t="n"/>
      <c r="G8" s="7" t="n"/>
      <c r="H8" s="7" t="n"/>
      <c r="I8" s="7" t="n"/>
      <c r="J8" s="7" t="n"/>
      <c r="K8" s="7" t="inlineStr">
        <is>
          <t>typed root class; none is a vacuum origin</t>
        </is>
      </c>
      <c r="L8" s="7" t="n"/>
    </row>
    <row r="9">
      <c r="A9" s="7" t="inlineStr">
        <is>
          <t>ROOT-CLASS-GAUGE_FIXED_CANONICAL_ROOT</t>
        </is>
      </c>
      <c r="B9" s="7" t="inlineStr">
        <is>
          <t>root_class</t>
        </is>
      </c>
      <c r="C9" s="7" t="inlineStr">
        <is>
          <t>DERIVED_ARITHMETIC</t>
        </is>
      </c>
      <c r="D9" s="7" t="inlineStr">
        <is>
          <t>PUBLIC</t>
        </is>
      </c>
      <c r="E9" s="7" t="inlineStr">
        <is>
          <t>pack core/16</t>
        </is>
      </c>
      <c r="F9" s="7" t="n"/>
      <c r="G9" s="7" t="n"/>
      <c r="H9" s="7" t="n"/>
      <c r="I9" s="7" t="n"/>
      <c r="J9" s="7" t="n"/>
      <c r="K9" s="7" t="inlineStr">
        <is>
          <t>typed root class; none is a vacuum origin</t>
        </is>
      </c>
      <c r="L9" s="7" t="n"/>
    </row>
    <row r="10">
      <c r="A10" s="7" t="inlineStr">
        <is>
          <t>COLLAPSE-HIERARCHY_ROOT_IS_VACUUM_ORIGIN</t>
        </is>
      </c>
      <c r="B10" s="7" t="inlineStr">
        <is>
          <t>forbidden_collapse</t>
        </is>
      </c>
      <c r="C10" s="7" t="inlineStr">
        <is>
          <t>DERIVED_ARITHMETIC</t>
        </is>
      </c>
      <c r="D10" s="7" t="inlineStr">
        <is>
          <t>PUBLIC</t>
        </is>
      </c>
      <c r="E10" s="7" t="inlineStr">
        <is>
          <t>r3.FORBIDDEN_COLLAPSES</t>
        </is>
      </c>
      <c r="F10" s="7" t="n"/>
      <c r="G10" s="7" t="n"/>
      <c r="H10" s="7" t="n"/>
      <c r="I10" s="7" t="n"/>
      <c r="J10" s="7" t="n"/>
      <c r="K10" s="7" t="n"/>
      <c r="L10" s="7" t="inlineStr">
        <is>
          <t>the codec's parent address is a bookkeeping object, not a location in vacuum</t>
        </is>
      </c>
    </row>
    <row r="11">
      <c r="A11" s="7" t="inlineStr">
        <is>
          <t>COLLAPSE-EIGENMODE_IS_SPACETIME_EIGENSTATE</t>
        </is>
      </c>
      <c r="B11" s="7" t="inlineStr">
        <is>
          <t>forbidden_collapse</t>
        </is>
      </c>
      <c r="C11" s="7" t="inlineStr">
        <is>
          <t>DERIVED_ARITHMETIC</t>
        </is>
      </c>
      <c r="D11" s="7" t="inlineStr">
        <is>
          <t>PUBLIC</t>
        </is>
      </c>
      <c r="E11" s="7" t="inlineStr">
        <is>
          <t>r3.FORBIDDEN_COLLAPSES</t>
        </is>
      </c>
      <c r="F11" s="7" t="n"/>
      <c r="G11" s="7" t="n"/>
      <c r="H11" s="7" t="n"/>
      <c r="I11" s="7" t="n"/>
      <c r="J11" s="7" t="n"/>
      <c r="K11" s="7" t="n"/>
      <c r="L11" s="7" t="inlineStr">
        <is>
          <t>a crystal eigenmode is a mechanical pattern, not a spacetime state</t>
        </is>
      </c>
    </row>
    <row r="12">
      <c r="A12" s="7" t="inlineStr">
        <is>
          <t>COLLAPSE-PHASE_ZERO_IS_ABSOLUTE_PHASE</t>
        </is>
      </c>
      <c r="B12" s="7" t="inlineStr">
        <is>
          <t>forbidden_collapse</t>
        </is>
      </c>
      <c r="C12" s="7" t="inlineStr">
        <is>
          <t>DERIVED_ARITHMETIC</t>
        </is>
      </c>
      <c r="D12" s="7" t="inlineStr">
        <is>
          <t>PUBLIC</t>
        </is>
      </c>
      <c r="E12" s="7" t="inlineStr">
        <is>
          <t>r3.FORBIDDEN_COLLAPSES</t>
        </is>
      </c>
      <c r="F12" s="7" t="n"/>
      <c r="G12" s="7" t="n"/>
      <c r="H12" s="7" t="n"/>
      <c r="I12" s="7" t="n"/>
      <c r="J12" s="7" t="n"/>
      <c r="K12" s="7" t="n"/>
      <c r="L12" s="7" t="inlineStr">
        <is>
          <t>phase zero is a declared epoch on a declared authority; absolute phase is modulo 2*pi (v4.7 doctrine)</t>
        </is>
      </c>
    </row>
    <row r="13">
      <c r="A13" s="7" t="inlineStr">
        <is>
          <t>COLLAPSE-CANONICAL_REPRESENTATIVE_IS_UNIQUE_ONTOLOGY</t>
        </is>
      </c>
      <c r="B13" s="7" t="inlineStr">
        <is>
          <t>forbidden_collapse</t>
        </is>
      </c>
      <c r="C13" s="7" t="inlineStr">
        <is>
          <t>DERIVED_ARITHMETIC</t>
        </is>
      </c>
      <c r="D13" s="7" t="inlineStr">
        <is>
          <t>PUBLIC</t>
        </is>
      </c>
      <c r="E13" s="7" t="inlineStr">
        <is>
          <t>r3.FORBIDDEN_COLLAPSES</t>
        </is>
      </c>
      <c r="F13" s="7" t="n"/>
      <c r="G13" s="7" t="n"/>
      <c r="H13" s="7" t="n"/>
      <c r="I13" s="7" t="n"/>
      <c r="J13" s="7" t="n"/>
      <c r="K13" s="7" t="n"/>
      <c r="L13" s="7" t="inlineStr">
        <is>
          <t>a gauge-fixed representative is a chosen member of an equivalence class, not the one true state</t>
        </is>
      </c>
    </row>
    <row r="14">
      <c r="A14" s="7" t="inlineStr">
        <is>
          <t>COLLAPSE-REFERENCE_NETWORK_IS_PREFERRED_FRAME</t>
        </is>
      </c>
      <c r="B14" s="7" t="inlineStr">
        <is>
          <t>forbidden_collapse</t>
        </is>
      </c>
      <c r="C14" s="7" t="inlineStr">
        <is>
          <t>DERIVED_ARITHMETIC</t>
        </is>
      </c>
      <c r="D14" s="7" t="inlineStr">
        <is>
          <t>PUBLIC</t>
        </is>
      </c>
      <c r="E14" s="7" t="inlineStr">
        <is>
          <t>r3.FORBIDDEN_COLLAPSES</t>
        </is>
      </c>
      <c r="F14" s="7" t="n"/>
      <c r="G14" s="7" t="n"/>
      <c r="H14" s="7" t="n"/>
      <c r="I14" s="7" t="n"/>
      <c r="J14" s="7" t="n"/>
      <c r="K14" s="7" t="n"/>
      <c r="L14" s="7" t="inlineStr">
        <is>
          <t>a physical reference network is relational; no measurement in it establishes a universal preferred frame</t>
        </is>
      </c>
    </row>
    <row r="15">
      <c r="A15" s="7" t="inlineStr">
        <is>
          <t>COLLAPSE-SOURCE_ESTIMATE_IS_HISTORICAL_TRUTH</t>
        </is>
      </c>
      <c r="B15" s="7" t="inlineStr">
        <is>
          <t>forbidden_collapse</t>
        </is>
      </c>
      <c r="C15" s="7" t="inlineStr">
        <is>
          <t>DERIVED_ARITHMETIC</t>
        </is>
      </c>
      <c r="D15" s="7" t="inlineStr">
        <is>
          <t>PUBLIC</t>
        </is>
      </c>
      <c r="E15" s="7" t="inlineStr">
        <is>
          <t>r3.FORBIDDEN_COLLAPSES</t>
        </is>
      </c>
      <c r="F15" s="7" t="n"/>
      <c r="G15" s="7" t="n"/>
      <c r="H15" s="7" t="n"/>
      <c r="I15" s="7" t="n"/>
      <c r="J15" s="7" t="n"/>
      <c r="K15" s="7" t="n"/>
      <c r="L15" s="7" t="inlineStr">
        <is>
          <t>a deconvolved source estimate is bounded inference, not a complete recovered history</t>
        </is>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21" customWidth="1" min="1" max="1"/>
    <col width="21" customWidth="1" min="2" max="2"/>
    <col width="20" customWidth="1" min="3" max="3"/>
    <col width="15" customWidth="1" min="4" max="4"/>
    <col width="42" customWidth="1" min="5" max="5"/>
    <col width="10" customWidth="1" min="6" max="6"/>
    <col width="10" customWidth="1" min="7" max="7"/>
    <col width="23" customWidth="1" min="8" max="8"/>
    <col width="34" customWidth="1" min="9" max="9"/>
    <col width="15" customWidth="1" min="10" max="10"/>
    <col width="23" customWidth="1" min="11" max="11"/>
    <col width="21" customWidth="1" min="12" max="12"/>
    <col width="20" customWidth="1" min="13" max="13"/>
    <col width="25" customWidth="1" min="14" max="14"/>
    <col width="15" customWidth="1" min="15" max="15"/>
    <col width="60" customWidth="1" min="16" max="16"/>
  </cols>
  <sheetData>
    <row r="1">
      <c r="A1" s="27" t="inlineStr">
        <is>
          <t>id</t>
        </is>
      </c>
      <c r="B1" s="27" t="inlineStr">
        <is>
          <t>kind</t>
        </is>
      </c>
      <c r="C1" s="27" t="inlineStr">
        <is>
          <t>evidence_class</t>
        </is>
      </c>
      <c r="D1" s="27" t="inlineStr">
        <is>
          <t>privacy_class</t>
        </is>
      </c>
      <c r="E1" s="27" t="inlineStr">
        <is>
          <t>provenance</t>
        </is>
      </c>
      <c r="F1" s="27" t="inlineStr">
        <is>
          <t>target_h</t>
        </is>
      </c>
      <c r="G1" s="27" t="inlineStr">
        <is>
          <t>region_m</t>
        </is>
      </c>
      <c r="H1" s="27" t="inlineStr">
        <is>
          <t>required_mass_kg</t>
        </is>
      </c>
      <c r="I1" s="27" t="inlineStr">
        <is>
          <t>verdict</t>
        </is>
      </c>
      <c r="J1" s="27" t="inlineStr">
        <is>
          <t>spin_density</t>
        </is>
      </c>
      <c r="K1" s="27" t="inlineStr">
        <is>
          <t>torsion_1_per_m</t>
        </is>
      </c>
      <c r="L1" s="27" t="inlineStr">
        <is>
          <t>levels</t>
        </is>
      </c>
      <c r="M1" s="27" t="inlineStr">
        <is>
          <t>formula</t>
        </is>
      </c>
      <c r="N1" s="27" t="inlineStr">
        <is>
          <t>grid_status</t>
        </is>
      </c>
      <c r="O1" s="27" t="inlineStr">
        <is>
          <t>portal_status</t>
        </is>
      </c>
      <c r="P1" s="27" t="inlineStr">
        <is>
          <t>note</t>
        </is>
      </c>
    </row>
    <row r="2">
      <c r="A2" s="8" t="inlineStr">
        <is>
          <t>R3-METRIC-BUDGET</t>
        </is>
      </c>
      <c r="B2" s="8" t="inlineStr">
        <is>
          <t>metric_source_audit</t>
        </is>
      </c>
      <c r="C2" s="8" t="inlineStr">
        <is>
          <t>ANALYTIC_MODEL</t>
        </is>
      </c>
      <c r="D2" s="8" t="inlineStr">
        <is>
          <t>PUBLIC</t>
        </is>
      </c>
      <c r="E2" s="8" t="inlineStr">
        <is>
          <t>r3.spin_torsion.metric_actuation_verdict</t>
        </is>
      </c>
      <c r="F2" s="8" t="n">
        <v>1e-09</v>
      </c>
      <c r="G2" s="8" t="n">
        <v>1</v>
      </c>
      <c r="H2" s="8" t="n">
        <v>6.732954607500545e+17</v>
      </c>
      <c r="I2" s="8" t="inlineStr">
        <is>
          <t>REFUSED_BY_ARITHMETIC</t>
        </is>
      </c>
      <c r="J2" s="8" t="n"/>
      <c r="K2" s="8" t="n"/>
      <c r="L2" s="8" t="n"/>
      <c r="M2" s="8" t="n"/>
      <c r="N2" s="8" t="n"/>
      <c r="O2" s="8" t="n"/>
      <c r="P2" s="8" t="n"/>
    </row>
    <row r="3">
      <c r="A3" s="8" t="inlineStr">
        <is>
          <t>R3-EC-TORSION-SCALE</t>
        </is>
      </c>
      <c r="B3" s="8" t="inlineStr">
        <is>
          <t>spin_torsion_audit</t>
        </is>
      </c>
      <c r="C3" s="8" t="inlineStr">
        <is>
          <t>ANALYTIC_MODEL</t>
        </is>
      </c>
      <c r="D3" s="8" t="inlineStr">
        <is>
          <t>PUBLIC</t>
        </is>
      </c>
      <c r="E3" s="8" t="inlineStr">
        <is>
          <t>r3.spin_torsion.einstein_cartan_torsion</t>
        </is>
      </c>
      <c r="F3" s="8" t="n"/>
      <c r="G3" s="8" t="n"/>
      <c r="H3" s="8" t="n"/>
      <c r="I3" s="8" t="inlineStr">
        <is>
          <t>UNMEASURABLE_AT_LABORATORY_SCALE</t>
        </is>
      </c>
      <c r="J3" s="8" t="n">
        <v>10000000000</v>
      </c>
      <c r="K3" s="8" t="n">
        <v>6.225632412899086e-25</v>
      </c>
      <c r="L3" s="8" t="n"/>
      <c r="M3" s="8" t="n"/>
      <c r="N3" s="8" t="n"/>
      <c r="O3" s="8" t="n"/>
      <c r="P3" s="8" t="n"/>
    </row>
    <row r="4">
      <c r="A4" s="7" t="inlineStr">
        <is>
          <t>R3-HIERARCHY</t>
        </is>
      </c>
      <c r="B4" s="7" t="inlineStr">
        <is>
          <t>address_hierarchy</t>
        </is>
      </c>
      <c r="C4" s="7" t="inlineStr">
        <is>
          <t>DERIVED_ARITHMETIC</t>
        </is>
      </c>
      <c r="D4" s="7" t="inlineStr">
        <is>
          <t>PUBLIC</t>
        </is>
      </c>
      <c r="E4" s="7" t="inlineStr">
        <is>
          <t>r3.address.level_count</t>
        </is>
      </c>
      <c r="F4" s="7" t="n"/>
      <c r="G4" s="7" t="n"/>
      <c r="H4" s="7" t="n"/>
      <c r="I4" s="7" t="n"/>
      <c r="J4" s="7" t="n"/>
      <c r="K4" s="7" t="n"/>
      <c r="L4" s="7" t="inlineStr">
        <is>
          <t>1, 8, 64, 512, 4096</t>
        </is>
      </c>
      <c r="M4" s="7" t="inlineStr">
        <is>
          <t>N_d = 8^d = 2^(3d)</t>
        </is>
      </c>
      <c r="N4" s="7" t="n"/>
      <c r="O4" s="7" t="n"/>
      <c r="P4" s="7" t="n"/>
    </row>
    <row r="5">
      <c r="A5" s="7" t="inlineStr">
        <is>
          <t>R3-ATLAS-STATUS</t>
        </is>
      </c>
      <c r="B5" s="7" t="inlineStr">
        <is>
          <t>atlas_status</t>
        </is>
      </c>
      <c r="C5" s="7" t="inlineStr">
        <is>
          <t>DERIVED_ARITHMETIC</t>
        </is>
      </c>
      <c r="D5" s="7" t="inlineStr">
        <is>
          <t>PUBLIC</t>
        </is>
      </c>
      <c r="E5" s="7" t="inlineStr">
        <is>
          <t>r3.atlas</t>
        </is>
      </c>
      <c r="F5" s="7" t="n"/>
      <c r="G5" s="7" t="n"/>
      <c r="H5" s="7" t="n"/>
      <c r="I5" s="7" t="n"/>
      <c r="J5" s="7" t="n"/>
      <c r="K5" s="7" t="n"/>
      <c r="L5" s="7" t="n"/>
      <c r="M5" s="7" t="n"/>
      <c r="N5" s="7" t="inlineStr">
        <is>
          <t>REPRESENTATION_ARTIFACT</t>
        </is>
      </c>
      <c r="O5" s="7" t="inlineStr">
        <is>
          <t>UNSUPPORTED</t>
        </is>
      </c>
      <c r="P5" s="7" t="inlineStr">
        <is>
          <t>orientation claims must beat the seeded null-rotation ensemble</t>
        </is>
      </c>
    </row>
  </sheetData>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R10"/>
  <sheetViews>
    <sheetView workbookViewId="0">
      <pane ySplit="1" topLeftCell="A2" activePane="bottomLeft" state="frozen"/>
      <selection pane="bottomLeft" activeCell="A1" sqref="A1"/>
    </sheetView>
  </sheetViews>
  <sheetFormatPr baseColWidth="8" defaultRowHeight="15"/>
  <cols>
    <col width="29" customWidth="1" min="1" max="1"/>
    <col width="19" customWidth="1" min="2" max="2"/>
    <col width="22" customWidth="1" min="3" max="3"/>
    <col width="15" customWidth="1" min="4" max="4"/>
    <col width="32" customWidth="1" min="5" max="5"/>
    <col width="48" customWidth="1" min="6" max="6"/>
    <col width="14" customWidth="1" min="7" max="7"/>
    <col width="14" customWidth="1" min="8" max="8"/>
    <col width="16" customWidth="1" min="9" max="9"/>
    <col width="60" customWidth="1" min="10" max="10"/>
    <col width="14" customWidth="1" min="11" max="11"/>
    <col width="12" customWidth="1" min="12" max="12"/>
    <col width="18" customWidth="1" min="13" max="13"/>
    <col width="20" customWidth="1" min="14" max="14"/>
    <col width="54" customWidth="1" min="15" max="15"/>
    <col width="10" customWidth="1" min="16" max="16"/>
    <col width="10" customWidth="1" min="17" max="17"/>
    <col width="20" customWidth="1" min="18" max="18"/>
  </cols>
  <sheetData>
    <row r="1">
      <c r="A1" s="27" t="inlineStr">
        <is>
          <t>id</t>
        </is>
      </c>
      <c r="B1" s="27" t="inlineStr">
        <is>
          <t>kind</t>
        </is>
      </c>
      <c r="C1" s="27" t="inlineStr">
        <is>
          <t>evidence_class</t>
        </is>
      </c>
      <c r="D1" s="27" t="inlineStr">
        <is>
          <t>privacy_class</t>
        </is>
      </c>
      <c r="E1" s="27" t="inlineStr">
        <is>
          <t>provenance</t>
        </is>
      </c>
      <c r="F1" s="27" t="inlineStr">
        <is>
          <t>identity</t>
        </is>
      </c>
      <c r="G1" s="27" t="inlineStr">
        <is>
          <t>keys_checked</t>
        </is>
      </c>
      <c r="H1" s="27" t="inlineStr">
        <is>
          <t>roundtrip_ok</t>
        </is>
      </c>
      <c r="I1" s="27" t="inlineStr">
        <is>
          <t>is_compression</t>
        </is>
      </c>
      <c r="J1" s="27" t="inlineStr">
        <is>
          <t>note</t>
        </is>
      </c>
      <c r="K1" s="27" t="inlineStr">
        <is>
          <t>pairwise_dot</t>
        </is>
      </c>
      <c r="L1" s="27" t="inlineStr">
        <is>
          <t>orthogonal</t>
        </is>
      </c>
      <c r="M1" s="27" t="inlineStr">
        <is>
          <t>negative_control</t>
        </is>
      </c>
      <c r="N1" s="27" t="inlineStr">
        <is>
          <t>beats_any_baseline</t>
        </is>
      </c>
      <c r="O1" s="27" t="inlineStr">
        <is>
          <t>baselines_beaten</t>
        </is>
      </c>
      <c r="P1" s="27" t="inlineStr">
        <is>
          <t>gate</t>
        </is>
      </c>
      <c r="Q1" s="27" t="inlineStr">
        <is>
          <t>failures</t>
        </is>
      </c>
      <c r="R1" s="27" t="inlineStr">
        <is>
          <t>structured_wins</t>
        </is>
      </c>
    </row>
    <row r="2">
      <c r="A2" s="7" t="inlineStr">
        <is>
          <t>R4-RADIX-BRIDGE</t>
        </is>
      </c>
      <c r="B2" s="7" t="inlineStr">
        <is>
          <t>radix_identity</t>
        </is>
      </c>
      <c r="C2" s="7" t="inlineStr">
        <is>
          <t>DERIVED_ARITHMETIC</t>
        </is>
      </c>
      <c r="D2" s="7" t="inlineStr">
        <is>
          <t>PUBLIC</t>
        </is>
      </c>
      <c r="E2" s="7" t="inlineStr">
        <is>
          <t>r4.radix.exhaustive_roundtrip</t>
        </is>
      </c>
      <c r="F2" s="7" t="inlineStr">
        <is>
          <t>4096 = 8^4 = 4^6 = 2^12 ; 64 = 8^2 = 4^3 = 2^6</t>
        </is>
      </c>
      <c r="G2" s="7" t="n">
        <v>4096</v>
      </c>
      <c r="H2" s="7" t="b">
        <v>1</v>
      </c>
      <c r="I2" s="7" t="b">
        <v>0</v>
      </c>
      <c r="J2" s="7" t="inlineStr">
        <is>
          <t>exact radix conversion contributes ZERO compression</t>
        </is>
      </c>
      <c r="K2" s="7" t="n"/>
      <c r="L2" s="7" t="n"/>
      <c r="M2" s="7" t="n"/>
      <c r="N2" s="7" t="n"/>
      <c r="O2" s="7" t="n"/>
      <c r="P2" s="7" t="n"/>
      <c r="Q2" s="7" t="n"/>
      <c r="R2" s="7" t="n"/>
    </row>
    <row r="3">
      <c r="A3" s="7" t="inlineStr">
        <is>
          <t>R4-TETRA-CODEBOOK</t>
        </is>
      </c>
      <c r="B3" s="7" t="inlineStr">
        <is>
          <t>codebook_geometry</t>
        </is>
      </c>
      <c r="C3" s="7" t="inlineStr">
        <is>
          <t>DERIVED_ARITHMETIC</t>
        </is>
      </c>
      <c r="D3" s="7" t="inlineStr">
        <is>
          <t>PUBLIC</t>
        </is>
      </c>
      <c r="E3" s="7" t="inlineStr">
        <is>
          <t>r4.quantizer.codebook_geometry</t>
        </is>
      </c>
      <c r="F3" s="7" t="n"/>
      <c r="G3" s="7" t="n"/>
      <c r="H3" s="7" t="n"/>
      <c r="I3" s="7" t="n"/>
      <c r="J3" s="7" t="inlineStr">
        <is>
          <t>four directions at -1/3 overlap are NOT an orthogonal basis; they cannot hold two bits in one spin-1/2</t>
        </is>
      </c>
      <c r="K3" s="7" t="inlineStr">
        <is>
          <t>-1/3</t>
        </is>
      </c>
      <c r="L3" s="7" t="b">
        <v>0</v>
      </c>
      <c r="M3" s="7" t="n"/>
      <c r="N3" s="7" t="n"/>
      <c r="O3" s="7" t="n"/>
      <c r="P3" s="7" t="n"/>
      <c r="Q3" s="7" t="n"/>
      <c r="R3" s="7" t="n"/>
    </row>
    <row r="4">
      <c r="A4" s="9" t="inlineStr">
        <is>
          <t>R4-BENCH-SMOOTH_FIELD</t>
        </is>
      </c>
      <c r="B4" s="9" t="inlineStr">
        <is>
          <t>rate_distortion</t>
        </is>
      </c>
      <c r="C4" s="9" t="inlineStr">
        <is>
          <t>NUMERICAL_SIMULATION</t>
        </is>
      </c>
      <c r="D4" s="9" t="inlineStr">
        <is>
          <t>PUBLIC</t>
        </is>
      </c>
      <c r="E4" s="9" t="inlineStr">
        <is>
          <t>r4.benchmark.full_campaign</t>
        </is>
      </c>
      <c r="F4" s="9" t="n"/>
      <c r="G4" s="9" t="n"/>
      <c r="H4" s="9" t="n"/>
      <c r="I4" s="9" t="n"/>
      <c r="J4" s="9" t="n"/>
      <c r="K4" s="9" t="n"/>
      <c r="L4" s="9" t="n"/>
      <c r="M4" s="9" t="b">
        <v>0</v>
      </c>
      <c r="N4" s="9" t="b">
        <v>0</v>
      </c>
      <c r="O4" s="9" t="inlineStr">
        <is>
          <t>none</t>
        </is>
      </c>
      <c r="P4" s="9" t="n"/>
      <c r="Q4" s="9" t="n"/>
      <c r="R4" s="9" t="n"/>
    </row>
    <row r="5">
      <c r="A5" s="9" t="inlineStr">
        <is>
          <t>R4-BENCH-PIECEWISE_CONSTANT</t>
        </is>
      </c>
      <c r="B5" s="9" t="inlineStr">
        <is>
          <t>rate_distortion</t>
        </is>
      </c>
      <c r="C5" s="9" t="inlineStr">
        <is>
          <t>NUMERICAL_SIMULATION</t>
        </is>
      </c>
      <c r="D5" s="9" t="inlineStr">
        <is>
          <t>PUBLIC</t>
        </is>
      </c>
      <c r="E5" s="9" t="inlineStr">
        <is>
          <t>r4.benchmark.full_campaign</t>
        </is>
      </c>
      <c r="F5" s="9" t="n"/>
      <c r="G5" s="9" t="n"/>
      <c r="H5" s="9" t="n"/>
      <c r="I5" s="9" t="n"/>
      <c r="J5" s="9" t="n"/>
      <c r="K5" s="9" t="n"/>
      <c r="L5" s="9" t="n"/>
      <c r="M5" s="9" t="b">
        <v>0</v>
      </c>
      <c r="N5" s="9" t="b">
        <v>1</v>
      </c>
      <c r="O5" s="9" t="inlineStr">
        <is>
          <t>FLAT_FLOAT32, RAW_QUATERNARY, UNIFORM_Q8, ENTROPY_Q8</t>
        </is>
      </c>
      <c r="P5" s="9" t="n"/>
      <c r="Q5" s="9" t="n"/>
      <c r="R5" s="9" t="n"/>
    </row>
    <row r="6">
      <c r="A6" s="9" t="inlineStr">
        <is>
          <t>R4-BENCH-SPARSE_EVENTS</t>
        </is>
      </c>
      <c r="B6" s="9" t="inlineStr">
        <is>
          <t>rate_distortion</t>
        </is>
      </c>
      <c r="C6" s="9" t="inlineStr">
        <is>
          <t>NUMERICAL_SIMULATION</t>
        </is>
      </c>
      <c r="D6" s="9" t="inlineStr">
        <is>
          <t>PUBLIC</t>
        </is>
      </c>
      <c r="E6" s="9" t="inlineStr">
        <is>
          <t>r4.benchmark.full_campaign</t>
        </is>
      </c>
      <c r="F6" s="9" t="n"/>
      <c r="G6" s="9" t="n"/>
      <c r="H6" s="9" t="n"/>
      <c r="I6" s="9" t="n"/>
      <c r="J6" s="9" t="n"/>
      <c r="K6" s="9" t="n"/>
      <c r="L6" s="9" t="n"/>
      <c r="M6" s="9" t="b">
        <v>0</v>
      </c>
      <c r="N6" s="9" t="b">
        <v>0</v>
      </c>
      <c r="O6" s="9" t="inlineStr">
        <is>
          <t>none</t>
        </is>
      </c>
      <c r="P6" s="9" t="n"/>
      <c r="Q6" s="9" t="n"/>
      <c r="R6" s="9" t="n"/>
    </row>
    <row r="7">
      <c r="A7" s="9" t="inlineStr">
        <is>
          <t>R4-BENCH-PHASE_RAMP</t>
        </is>
      </c>
      <c r="B7" s="9" t="inlineStr">
        <is>
          <t>rate_distortion</t>
        </is>
      </c>
      <c r="C7" s="9" t="inlineStr">
        <is>
          <t>NUMERICAL_SIMULATION</t>
        </is>
      </c>
      <c r="D7" s="9" t="inlineStr">
        <is>
          <t>PUBLIC</t>
        </is>
      </c>
      <c r="E7" s="9" t="inlineStr">
        <is>
          <t>r4.benchmark.full_campaign</t>
        </is>
      </c>
      <c r="F7" s="9" t="n"/>
      <c r="G7" s="9" t="n"/>
      <c r="H7" s="9" t="n"/>
      <c r="I7" s="9" t="n"/>
      <c r="J7" s="9" t="n"/>
      <c r="K7" s="9" t="n"/>
      <c r="L7" s="9" t="n"/>
      <c r="M7" s="9" t="b">
        <v>0</v>
      </c>
      <c r="N7" s="9" t="b">
        <v>0</v>
      </c>
      <c r="O7" s="9" t="inlineStr">
        <is>
          <t>none</t>
        </is>
      </c>
      <c r="P7" s="9" t="n"/>
      <c r="Q7" s="9" t="n"/>
      <c r="R7" s="9" t="n"/>
    </row>
    <row r="8">
      <c r="A8" s="9" t="inlineStr">
        <is>
          <t>R4-BENCH-RANDOM_UNIFORM</t>
        </is>
      </c>
      <c r="B8" s="9" t="inlineStr">
        <is>
          <t>rate_distortion</t>
        </is>
      </c>
      <c r="C8" s="9" t="inlineStr">
        <is>
          <t>NUMERICAL_SIMULATION</t>
        </is>
      </c>
      <c r="D8" s="9" t="inlineStr">
        <is>
          <t>PUBLIC</t>
        </is>
      </c>
      <c r="E8" s="9" t="inlineStr">
        <is>
          <t>r4.benchmark.full_campaign</t>
        </is>
      </c>
      <c r="F8" s="9" t="n"/>
      <c r="G8" s="9" t="n"/>
      <c r="H8" s="9" t="n"/>
      <c r="I8" s="9" t="n"/>
      <c r="J8" s="9" t="n"/>
      <c r="K8" s="9" t="n"/>
      <c r="L8" s="9" t="n"/>
      <c r="M8" s="9" t="b">
        <v>1</v>
      </c>
      <c r="N8" s="9" t="b">
        <v>0</v>
      </c>
      <c r="O8" s="9" t="inlineStr">
        <is>
          <t>none</t>
        </is>
      </c>
      <c r="P8" s="9" t="n"/>
      <c r="Q8" s="9" t="n"/>
      <c r="R8" s="9" t="n"/>
    </row>
    <row r="9">
      <c r="A9" s="9" t="inlineStr">
        <is>
          <t>R4-BENCH-RANDOM_GAUSSIAN</t>
        </is>
      </c>
      <c r="B9" s="9" t="inlineStr">
        <is>
          <t>rate_distortion</t>
        </is>
      </c>
      <c r="C9" s="9" t="inlineStr">
        <is>
          <t>NUMERICAL_SIMULATION</t>
        </is>
      </c>
      <c r="D9" s="9" t="inlineStr">
        <is>
          <t>PUBLIC</t>
        </is>
      </c>
      <c r="E9" s="9" t="inlineStr">
        <is>
          <t>r4.benchmark.full_campaign</t>
        </is>
      </c>
      <c r="F9" s="9" t="n"/>
      <c r="G9" s="9" t="n"/>
      <c r="H9" s="9" t="n"/>
      <c r="I9" s="9" t="n"/>
      <c r="J9" s="9" t="n"/>
      <c r="K9" s="9" t="n"/>
      <c r="L9" s="9" t="n"/>
      <c r="M9" s="9" t="b">
        <v>1</v>
      </c>
      <c r="N9" s="9" t="b">
        <v>0</v>
      </c>
      <c r="O9" s="9" t="inlineStr">
        <is>
          <t>none</t>
        </is>
      </c>
      <c r="P9" s="9" t="n"/>
      <c r="Q9" s="9" t="n"/>
      <c r="R9" s="9" t="n"/>
    </row>
    <row r="10">
      <c r="A10" s="9" t="inlineStr">
        <is>
          <t>R4-NEGATIVE-CONTROL-GATE</t>
        </is>
      </c>
      <c r="B10" s="9" t="inlineStr">
        <is>
          <t>campaign_gate</t>
        </is>
      </c>
      <c r="C10" s="9" t="inlineStr">
        <is>
          <t>NUMERICAL_SIMULATION</t>
        </is>
      </c>
      <c r="D10" s="9" t="inlineStr">
        <is>
          <t>PUBLIC</t>
        </is>
      </c>
      <c r="E10" s="9" t="inlineStr">
        <is>
          <t>r4.benchmark.full_campaign</t>
        </is>
      </c>
      <c r="F10" s="9" t="n"/>
      <c r="G10" s="9" t="n"/>
      <c r="H10" s="9" t="n"/>
      <c r="I10" s="9" t="n"/>
      <c r="J10" s="9" t="n"/>
      <c r="K10" s="9" t="n"/>
      <c r="L10" s="9" t="n"/>
      <c r="M10" s="9" t="n"/>
      <c r="N10" s="9" t="n"/>
      <c r="O10" s="9" t="n"/>
      <c r="P10" s="9" t="inlineStr">
        <is>
          <t>PASS</t>
        </is>
      </c>
      <c r="Q10" s="9" t="inlineStr">
        <is>
          <t>none</t>
        </is>
      </c>
      <c r="R10" s="9" t="inlineStr">
        <is>
          <t>PIECEWISE_CONSTANT</t>
        </is>
      </c>
    </row>
  </sheetData>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T17"/>
  <sheetViews>
    <sheetView workbookViewId="0">
      <pane ySplit="1" topLeftCell="A2" activePane="bottomLeft" state="frozen"/>
      <selection pane="bottomLeft" activeCell="A1" sqref="A1"/>
    </sheetView>
  </sheetViews>
  <sheetFormatPr baseColWidth="8" defaultRowHeight="15"/>
  <cols>
    <col width="23" customWidth="1" min="1" max="1"/>
    <col width="21" customWidth="1" min="2" max="2"/>
    <col width="16" customWidth="1" min="3" max="3"/>
    <col width="15" customWidth="1" min="4" max="4"/>
    <col width="30" customWidth="1" min="5" max="5"/>
    <col width="27" customWidth="1" min="6" max="6"/>
    <col width="15" customWidth="1" min="7" max="7"/>
    <col width="12" customWidth="1" min="8" max="8"/>
    <col width="10" customWidth="1" min="9" max="9"/>
    <col width="12" customWidth="1" min="10" max="10"/>
    <col width="12" customWidth="1" min="11" max="11"/>
    <col width="60" customWidth="1" min="12" max="12"/>
    <col width="22" customWidth="1" min="13" max="13"/>
    <col width="23" customWidth="1" min="14" max="14"/>
    <col width="15" customWidth="1" min="15" max="15"/>
    <col width="42" customWidth="1" min="16" max="16"/>
    <col width="20" customWidth="1" min="17" max="17"/>
    <col width="60" customWidth="1" min="18" max="18"/>
    <col width="54" customWidth="1" min="19" max="19"/>
    <col width="20" customWidth="1" min="20" max="20"/>
  </cols>
  <sheetData>
    <row r="1">
      <c r="A1" s="27" t="inlineStr">
        <is>
          <t>id</t>
        </is>
      </c>
      <c r="B1" s="27" t="inlineStr">
        <is>
          <t>kind</t>
        </is>
      </c>
      <c r="C1" s="27" t="inlineStr">
        <is>
          <t>evidence_class</t>
        </is>
      </c>
      <c r="D1" s="27" t="inlineStr">
        <is>
          <t>privacy_class</t>
        </is>
      </c>
      <c r="E1" s="27" t="inlineStr">
        <is>
          <t>provenance</t>
        </is>
      </c>
      <c r="F1" s="27" t="inlineStr">
        <is>
          <t>type</t>
        </is>
      </c>
      <c r="G1" s="27" t="inlineStr">
        <is>
          <t>native_levels</t>
        </is>
      </c>
      <c r="H1" s="27" t="inlineStr">
        <is>
          <t>orthogonal</t>
        </is>
      </c>
      <c r="I1" s="27" t="inlineStr">
        <is>
          <t>coherent</t>
        </is>
      </c>
      <c r="J1" s="27" t="inlineStr">
        <is>
          <t>selectable</t>
        </is>
      </c>
      <c r="K1" s="27" t="inlineStr">
        <is>
          <t>open_gates</t>
        </is>
      </c>
      <c r="L1" s="27" t="inlineStr">
        <is>
          <t>limitations</t>
        </is>
      </c>
      <c r="M1" s="27" t="inlineStr">
        <is>
          <t>recommended_coherent</t>
        </is>
      </c>
      <c r="N1" s="27" t="inlineStr">
        <is>
          <t>recommended_classical</t>
        </is>
      </c>
      <c r="O1" s="27" t="inlineStr">
        <is>
          <t>quartz_status</t>
        </is>
      </c>
      <c r="P1" s="27" t="inlineStr">
        <is>
          <t>physical_status</t>
        </is>
      </c>
      <c r="Q1" s="27" t="inlineStr">
        <is>
          <t>any_stage_runnable</t>
        </is>
      </c>
      <c r="R1" s="27" t="inlineStr">
        <is>
          <t>blocker</t>
        </is>
      </c>
      <c r="S1" s="27" t="inlineStr">
        <is>
          <t>claim</t>
        </is>
      </c>
      <c r="T1" s="27" t="inlineStr">
        <is>
          <t>status</t>
        </is>
      </c>
    </row>
    <row r="2">
      <c r="A2" s="8" t="inlineStr">
        <is>
          <t>SIC_V_SI_SPIN_3_2</t>
        </is>
      </c>
      <c r="B2" s="8" t="inlineStr">
        <is>
          <t>four_state_platform</t>
        </is>
      </c>
      <c r="C2" s="8" t="inlineStr">
        <is>
          <t>ANALYTIC_MODEL</t>
        </is>
      </c>
      <c r="D2" s="8" t="inlineStr">
        <is>
          <t>PUBLIC</t>
        </is>
      </c>
      <c r="E2" s="8" t="inlineStr">
        <is>
          <t>r4.platforms.REGISTRY</t>
        </is>
      </c>
      <c r="F2" s="8" t="inlineStr">
        <is>
          <t>SPIN_THREE_HALVES</t>
        </is>
      </c>
      <c r="G2" s="8" t="n">
        <v>4</v>
      </c>
      <c r="H2" s="8" t="b">
        <v>1</v>
      </c>
      <c r="I2" s="8" t="b">
        <v>1</v>
      </c>
      <c r="J2" s="8" t="b">
        <v>1</v>
      </c>
      <c r="K2" s="8" t="n">
        <v>4</v>
      </c>
      <c r="L2" s="8" t="inlineStr">
        <is>
          <t>full four-level discrimination is nontrivial: optical readout commonly distinguishes |m_s|=1/2 from |m_s|=3/2 PAIRS rather than all four levels, so sign resolution needs extra cont</t>
        </is>
      </c>
      <c r="M2" s="8" t="n"/>
      <c r="N2" s="8" t="n"/>
      <c r="O2" s="8" t="n"/>
      <c r="P2" s="8" t="n"/>
      <c r="Q2" s="8" t="n"/>
      <c r="R2" s="8" t="n"/>
      <c r="S2" s="8" t="n"/>
      <c r="T2" s="8" t="n"/>
    </row>
    <row r="3">
      <c r="A3" s="8" t="inlineStr">
        <is>
          <t>DIAMOND_NV_PLUS_N15</t>
        </is>
      </c>
      <c r="B3" s="8" t="inlineStr">
        <is>
          <t>four_state_platform</t>
        </is>
      </c>
      <c r="C3" s="8" t="inlineStr">
        <is>
          <t>ANALYTIC_MODEL</t>
        </is>
      </c>
      <c r="D3" s="8" t="inlineStr">
        <is>
          <t>PUBLIC</t>
        </is>
      </c>
      <c r="E3" s="8" t="inlineStr">
        <is>
          <t>r4.platforms.REGISTRY</t>
        </is>
      </c>
      <c r="F3" s="8" t="inlineStr">
        <is>
          <t>TWO_COUPLED_SPIN_HALF</t>
        </is>
      </c>
      <c r="G3" s="8" t="n">
        <v>4</v>
      </c>
      <c r="H3" s="8" t="b">
        <v>1</v>
      </c>
      <c r="I3" s="8" t="b">
        <v>1</v>
      </c>
      <c r="J3" s="8" t="b">
        <v>1</v>
      </c>
      <c r="K3" s="8" t="n">
        <v>3</v>
      </c>
      <c r="L3" s="8" t="inlineStr">
        <is>
          <t>four states come from TWO spins, not one four-level system; addressing density is limited by optical diffraction unless super-resolution is used</t>
        </is>
      </c>
      <c r="M3" s="8" t="n"/>
      <c r="N3" s="8" t="n"/>
      <c r="O3" s="8" t="n"/>
      <c r="P3" s="8" t="n"/>
      <c r="Q3" s="8" t="n"/>
      <c r="R3" s="8" t="n"/>
      <c r="S3" s="8" t="n"/>
      <c r="T3" s="8" t="n"/>
    </row>
    <row r="4">
      <c r="A4" s="8" t="inlineStr">
        <is>
          <t>CLASSICAL_FOUR_DOMAIN</t>
        </is>
      </c>
      <c r="B4" s="8" t="inlineStr">
        <is>
          <t>four_state_platform</t>
        </is>
      </c>
      <c r="C4" s="8" t="inlineStr">
        <is>
          <t>ANALYTIC_MODEL</t>
        </is>
      </c>
      <c r="D4" s="8" t="inlineStr">
        <is>
          <t>PUBLIC</t>
        </is>
      </c>
      <c r="E4" s="8" t="inlineStr">
        <is>
          <t>r4.platforms.REGISTRY</t>
        </is>
      </c>
      <c r="F4" s="8" t="inlineStr">
        <is>
          <t>FOUR_CLASSICAL_DOMAINS</t>
        </is>
      </c>
      <c r="G4" s="8" t="n">
        <v>4</v>
      </c>
      <c r="H4" s="8" t="b">
        <v>1</v>
      </c>
      <c r="I4" s="8" t="b">
        <v>0</v>
      </c>
      <c r="J4" s="8" t="b">
        <v>1</v>
      </c>
      <c r="K4" s="8" t="n">
        <v>1</v>
      </c>
      <c r="L4" s="8" t="inlineStr">
        <is>
          <t>NOT coherent spin memory. Perfectly good for quaternary symbol storage; it tests the codec, not the spin hypothesis</t>
        </is>
      </c>
      <c r="M4" s="8" t="n"/>
      <c r="N4" s="8" t="n"/>
      <c r="O4" s="8" t="n"/>
      <c r="P4" s="8" t="n"/>
      <c r="Q4" s="8" t="n"/>
      <c r="R4" s="8" t="n"/>
      <c r="S4" s="8" t="n"/>
      <c r="T4" s="8" t="n"/>
    </row>
    <row r="5">
      <c r="A5" s="8" t="inlineStr">
        <is>
          <t>SPIN_HALF_TETRAHEDRAL</t>
        </is>
      </c>
      <c r="B5" s="8" t="inlineStr">
        <is>
          <t>four_state_platform</t>
        </is>
      </c>
      <c r="C5" s="8" t="inlineStr">
        <is>
          <t>ANALYTIC_MODEL</t>
        </is>
      </c>
      <c r="D5" s="8" t="inlineStr">
        <is>
          <t>PUBLIC</t>
        </is>
      </c>
      <c r="E5" s="8" t="inlineStr">
        <is>
          <t>r4.platforms.REGISTRY</t>
        </is>
      </c>
      <c r="F5" s="8" t="inlineStr">
        <is>
          <t>SPIN_HALF_FOUR_DIRECTIONS</t>
        </is>
      </c>
      <c r="G5" s="8" t="n">
        <v>2</v>
      </c>
      <c r="H5" s="8" t="b">
        <v>0</v>
      </c>
      <c r="I5" s="8" t="b">
        <v>1</v>
      </c>
      <c r="J5" s="8" t="b">
        <v>0</v>
      </c>
      <c r="K5" s="8" t="n">
        <v>2</v>
      </c>
      <c r="L5" s="8" t="inlineStr">
        <is>
          <t>REFUSED as memory: a spin-1/2 has a 2-dimensional Hilbert space. Four non-orthogonal directions (overlap -1/3) cannot be deterministically distinguished, so they do not store two b</t>
        </is>
      </c>
      <c r="M5" s="8" t="n"/>
      <c r="N5" s="8" t="n"/>
      <c r="O5" s="8" t="n"/>
      <c r="P5" s="8" t="n"/>
      <c r="Q5" s="8" t="n"/>
      <c r="R5" s="8" t="n"/>
      <c r="S5" s="8" t="n"/>
      <c r="T5" s="8" t="n"/>
    </row>
    <row r="6">
      <c r="A6" s="8" t="inlineStr">
        <is>
          <t>QUARTZ_DEFECT</t>
        </is>
      </c>
      <c r="B6" s="8" t="inlineStr">
        <is>
          <t>four_state_platform</t>
        </is>
      </c>
      <c r="C6" s="8" t="inlineStr">
        <is>
          <t>ANALYTIC_MODEL</t>
        </is>
      </c>
      <c r="D6" s="8" t="inlineStr">
        <is>
          <t>PUBLIC</t>
        </is>
      </c>
      <c r="E6" s="8" t="inlineStr">
        <is>
          <t>r4.platforms.REGISTRY</t>
        </is>
      </c>
      <c r="F6" s="8" t="inlineStr">
        <is>
          <t>QUARTZ_DEFECT_PLATFORM</t>
        </is>
      </c>
      <c r="G6" s="8" t="n">
        <v>0</v>
      </c>
      <c r="H6" s="8" t="b">
        <v>0</v>
      </c>
      <c r="I6" s="8" t="b">
        <v>0</v>
      </c>
      <c r="J6" s="8" t="b">
        <v>0</v>
      </c>
      <c r="K6" s="8" t="n">
        <v>10</v>
      </c>
      <c r="L6" s="8" t="inlineStr">
        <is>
          <t>BLOCKED: no identified defect with a demonstrated write/read/reset chain in this programme's specimen. The source narrative motivates the lane; it does not qualify the platform</t>
        </is>
      </c>
      <c r="M6" s="8" t="n"/>
      <c r="N6" s="8" t="n"/>
      <c r="O6" s="8" t="n"/>
      <c r="P6" s="8" t="n"/>
      <c r="Q6" s="8" t="n"/>
      <c r="R6" s="8" t="n"/>
      <c r="S6" s="8" t="n"/>
      <c r="T6" s="8" t="n"/>
    </row>
    <row r="7">
      <c r="A7" s="8" t="inlineStr">
        <is>
          <t>R4-PLATFORM-DECISION</t>
        </is>
      </c>
      <c r="B7" s="8" t="inlineStr">
        <is>
          <t>decision_matrix</t>
        </is>
      </c>
      <c r="C7" s="8" t="inlineStr">
        <is>
          <t>ANALYTIC_MODEL</t>
        </is>
      </c>
      <c r="D7" s="8" t="inlineStr">
        <is>
          <t>PUBLIC</t>
        </is>
      </c>
      <c r="E7" s="8" t="inlineStr">
        <is>
          <t>r4.platforms.decision_matrix</t>
        </is>
      </c>
      <c r="F7" s="8" t="n"/>
      <c r="G7" s="8" t="n"/>
      <c r="H7" s="8" t="n"/>
      <c r="I7" s="8" t="n"/>
      <c r="J7" s="8" t="n"/>
      <c r="K7" s="8" t="n"/>
      <c r="L7" s="8" t="n"/>
      <c r="M7" s="8" t="inlineStr">
        <is>
          <t>DIAMOND_NV_PLUS_N15</t>
        </is>
      </c>
      <c r="N7" s="8" t="inlineStr">
        <is>
          <t>CLASSICAL_FOUR_DOMAIN</t>
        </is>
      </c>
      <c r="O7" s="8" t="inlineStr">
        <is>
          <t>BLOCKED</t>
        </is>
      </c>
      <c r="P7" s="8" t="inlineStr">
        <is>
          <t>UNTESTED — no platform has been operated</t>
        </is>
      </c>
      <c r="Q7" s="8" t="n"/>
      <c r="R7" s="8" t="n"/>
      <c r="S7" s="8" t="n"/>
      <c r="T7" s="8" t="n"/>
    </row>
    <row r="8">
      <c r="A8" s="8" t="inlineStr">
        <is>
          <t>R4-BENCH-READINESS</t>
        </is>
      </c>
      <c r="B8" s="8" t="inlineStr">
        <is>
          <t>honest_stop</t>
        </is>
      </c>
      <c r="C8" s="8" t="inlineStr">
        <is>
          <t>ANALYTIC_MODEL</t>
        </is>
      </c>
      <c r="D8" s="8" t="inlineStr">
        <is>
          <t>PUBLIC</t>
        </is>
      </c>
      <c r="E8" s="8" t="inlineStr">
        <is>
          <t>r4.bench.bench_readiness</t>
        </is>
      </c>
      <c r="F8" s="8" t="n"/>
      <c r="G8" s="8" t="n"/>
      <c r="H8" s="8" t="n"/>
      <c r="I8" s="8" t="n"/>
      <c r="J8" s="8" t="n"/>
      <c r="K8" s="8" t="n"/>
      <c r="L8" s="8" t="n"/>
      <c r="M8" s="8" t="n"/>
      <c r="N8" s="8" t="n"/>
      <c r="O8" s="8" t="n"/>
      <c r="P8" s="8" t="inlineStr">
        <is>
          <t>UNTESTED</t>
        </is>
      </c>
      <c r="Q8" s="8" t="b">
        <v>0</v>
      </c>
      <c r="R8" s="8" t="inlineStr">
        <is>
          <t>HARDWARE_SAFETY_BLOCKED / no apparatus exists: every stage requires instruments this programme does not have. Simulation may continue; a physical verdict may not be emitted.</t>
        </is>
      </c>
      <c r="S8" s="8" t="n"/>
      <c r="T8" s="8" t="n"/>
    </row>
    <row r="9">
      <c r="A9" s="13" t="inlineStr">
        <is>
          <t>R4-EXCLUDED-00</t>
        </is>
      </c>
      <c r="B9" s="13" t="inlineStr">
        <is>
          <t>excluded_claim</t>
        </is>
      </c>
      <c r="C9" s="13" t="inlineStr">
        <is>
          <t>UNSUPPORTED</t>
        </is>
      </c>
      <c r="D9" s="13" t="inlineStr">
        <is>
          <t>PUBLIC</t>
        </is>
      </c>
      <c r="E9" s="13" t="inlineStr">
        <is>
          <t>r4.EXCLUDED_CLAIMS</t>
        </is>
      </c>
      <c r="F9" s="13" t="n"/>
      <c r="G9" s="13" t="n"/>
      <c r="H9" s="13" t="n"/>
      <c r="I9" s="13" t="n"/>
      <c r="J9" s="13" t="n"/>
      <c r="K9" s="13" t="n"/>
      <c r="L9" s="13" t="n"/>
      <c r="M9" s="13" t="n"/>
      <c r="N9" s="13" t="n"/>
      <c r="O9" s="13" t="n"/>
      <c r="P9" s="13" t="n"/>
      <c r="Q9" s="13" t="n"/>
      <c r="R9" s="13" t="n"/>
      <c r="S9" s="13" t="inlineStr">
        <is>
          <t>spin storage in quartz without specimen evidence</t>
        </is>
      </c>
      <c r="T9" s="13" t="inlineStr">
        <is>
          <t>MAY_NOT_BE_CLAIMED</t>
        </is>
      </c>
    </row>
    <row r="10">
      <c r="A10" s="13" t="inlineStr">
        <is>
          <t>R4-EXCLUDED-01</t>
        </is>
      </c>
      <c r="B10" s="13" t="inlineStr">
        <is>
          <t>excluded_claim</t>
        </is>
      </c>
      <c r="C10" s="13" t="inlineStr">
        <is>
          <t>UNSUPPORTED</t>
        </is>
      </c>
      <c r="D10" s="13" t="inlineStr">
        <is>
          <t>PUBLIC</t>
        </is>
      </c>
      <c r="E10" s="13" t="inlineStr">
        <is>
          <t>r4.EXCLUDED_CLAIMS</t>
        </is>
      </c>
      <c r="F10" s="13" t="n"/>
      <c r="G10" s="13" t="n"/>
      <c r="H10" s="13" t="n"/>
      <c r="I10" s="13" t="n"/>
      <c r="J10" s="13" t="n"/>
      <c r="K10" s="13" t="n"/>
      <c r="L10" s="13" t="n"/>
      <c r="M10" s="13" t="n"/>
      <c r="N10" s="13" t="n"/>
      <c r="O10" s="13" t="n"/>
      <c r="P10" s="13" t="n"/>
      <c r="Q10" s="13" t="n"/>
      <c r="R10" s="13" t="n"/>
      <c r="S10" s="13" t="inlineStr">
        <is>
          <t>four orthogonal spin-1/2 states from four directions</t>
        </is>
      </c>
      <c r="T10" s="13" t="inlineStr">
        <is>
          <t>MAY_NOT_BE_CLAIMED</t>
        </is>
      </c>
    </row>
    <row r="11">
      <c r="A11" s="13" t="inlineStr">
        <is>
          <t>R4-EXCLUDED-02</t>
        </is>
      </c>
      <c r="B11" s="13" t="inlineStr">
        <is>
          <t>excluded_claim</t>
        </is>
      </c>
      <c r="C11" s="13" t="inlineStr">
        <is>
          <t>UNSUPPORTED</t>
        </is>
      </c>
      <c r="D11" s="13" t="inlineStr">
        <is>
          <t>PUBLIC</t>
        </is>
      </c>
      <c r="E11" s="13" t="inlineStr">
        <is>
          <t>r4.EXCLUDED_CLAIMS</t>
        </is>
      </c>
      <c r="F11" s="13" t="n"/>
      <c r="G11" s="13" t="n"/>
      <c r="H11" s="13" t="n"/>
      <c r="I11" s="13" t="n"/>
      <c r="J11" s="13" t="n"/>
      <c r="K11" s="13" t="n"/>
      <c r="L11" s="13" t="n"/>
      <c r="M11" s="13" t="n"/>
      <c r="N11" s="13" t="n"/>
      <c r="O11" s="13" t="n"/>
      <c r="P11" s="13" t="n"/>
      <c r="Q11" s="13" t="n"/>
      <c r="R11" s="13" t="n"/>
      <c r="S11" s="13" t="inlineStr">
        <is>
          <t>compression from base conversion alone</t>
        </is>
      </c>
      <c r="T11" s="13" t="inlineStr">
        <is>
          <t>MAY_NOT_BE_CLAIMED</t>
        </is>
      </c>
    </row>
    <row r="12">
      <c r="A12" s="13" t="inlineStr">
        <is>
          <t>R4-EXCLUDED-03</t>
        </is>
      </c>
      <c r="B12" s="13" t="inlineStr">
        <is>
          <t>excluded_claim</t>
        </is>
      </c>
      <c r="C12" s="13" t="inlineStr">
        <is>
          <t>UNSUPPORTED</t>
        </is>
      </c>
      <c r="D12" s="13" t="inlineStr">
        <is>
          <t>PUBLIC</t>
        </is>
      </c>
      <c r="E12" s="13" t="inlineStr">
        <is>
          <t>r4.EXCLUDED_CLAIMS</t>
        </is>
      </c>
      <c r="F12" s="13" t="n"/>
      <c r="G12" s="13" t="n"/>
      <c r="H12" s="13" t="n"/>
      <c r="I12" s="13" t="n"/>
      <c r="J12" s="13" t="n"/>
      <c r="K12" s="13" t="n"/>
      <c r="L12" s="13" t="n"/>
      <c r="M12" s="13" t="n"/>
      <c r="N12" s="13" t="n"/>
      <c r="O12" s="13" t="n"/>
      <c r="P12" s="13" t="n"/>
      <c r="Q12" s="13" t="n"/>
      <c r="R12" s="13" t="n"/>
      <c r="S12" s="13" t="inlineStr">
        <is>
          <t>consciousness storage</t>
        </is>
      </c>
      <c r="T12" s="13" t="inlineStr">
        <is>
          <t>MAY_NOT_BE_CLAIMED</t>
        </is>
      </c>
    </row>
    <row r="13">
      <c r="A13" s="13" t="inlineStr">
        <is>
          <t>R4-EXCLUDED-04</t>
        </is>
      </c>
      <c r="B13" s="13" t="inlineStr">
        <is>
          <t>excluded_claim</t>
        </is>
      </c>
      <c r="C13" s="13" t="inlineStr">
        <is>
          <t>UNSUPPORTED</t>
        </is>
      </c>
      <c r="D13" s="13" t="inlineStr">
        <is>
          <t>PUBLIC</t>
        </is>
      </c>
      <c r="E13" s="13" t="inlineStr">
        <is>
          <t>r4.EXCLUDED_CLAIMS</t>
        </is>
      </c>
      <c r="F13" s="13" t="n"/>
      <c r="G13" s="13" t="n"/>
      <c r="H13" s="13" t="n"/>
      <c r="I13" s="13" t="n"/>
      <c r="J13" s="13" t="n"/>
      <c r="K13" s="13" t="n"/>
      <c r="L13" s="13" t="n"/>
      <c r="M13" s="13" t="n"/>
      <c r="N13" s="13" t="n"/>
      <c r="O13" s="13" t="n"/>
      <c r="P13" s="13" t="n"/>
      <c r="Q13" s="13" t="n"/>
      <c r="R13" s="13" t="n"/>
      <c r="S13" s="13" t="inlineStr">
        <is>
          <t>Phryll detection</t>
        </is>
      </c>
      <c r="T13" s="13" t="inlineStr">
        <is>
          <t>MAY_NOT_BE_CLAIMED</t>
        </is>
      </c>
    </row>
    <row r="14">
      <c r="A14" s="13" t="inlineStr">
        <is>
          <t>R4-EXCLUDED-05</t>
        </is>
      </c>
      <c r="B14" s="13" t="inlineStr">
        <is>
          <t>excluded_claim</t>
        </is>
      </c>
      <c r="C14" s="13" t="inlineStr">
        <is>
          <t>UNSUPPORTED</t>
        </is>
      </c>
      <c r="D14" s="13" t="inlineStr">
        <is>
          <t>PUBLIC</t>
        </is>
      </c>
      <c r="E14" s="13" t="inlineStr">
        <is>
          <t>r4.EXCLUDED_CLAIMS</t>
        </is>
      </c>
      <c r="F14" s="13" t="n"/>
      <c r="G14" s="13" t="n"/>
      <c r="H14" s="13" t="n"/>
      <c r="I14" s="13" t="n"/>
      <c r="J14" s="13" t="n"/>
      <c r="K14" s="13" t="n"/>
      <c r="L14" s="13" t="n"/>
      <c r="M14" s="13" t="n"/>
      <c r="N14" s="13" t="n"/>
      <c r="O14" s="13" t="n"/>
      <c r="P14" s="13" t="n"/>
      <c r="Q14" s="13" t="n"/>
      <c r="R14" s="13" t="n"/>
      <c r="S14" s="13" t="inlineStr">
        <is>
          <t>spacetime torsion</t>
        </is>
      </c>
      <c r="T14" s="13" t="inlineStr">
        <is>
          <t>MAY_NOT_BE_CLAIMED</t>
        </is>
      </c>
    </row>
    <row r="15">
      <c r="A15" s="13" t="inlineStr">
        <is>
          <t>R4-EXCLUDED-06</t>
        </is>
      </c>
      <c r="B15" s="13" t="inlineStr">
        <is>
          <t>excluded_claim</t>
        </is>
      </c>
      <c r="C15" s="13" t="inlineStr">
        <is>
          <t>UNSUPPORTED</t>
        </is>
      </c>
      <c r="D15" s="13" t="inlineStr">
        <is>
          <t>PUBLIC</t>
        </is>
      </c>
      <c r="E15" s="13" t="inlineStr">
        <is>
          <t>r4.EXCLUDED_CLAIMS</t>
        </is>
      </c>
      <c r="F15" s="13" t="n"/>
      <c r="G15" s="13" t="n"/>
      <c r="H15" s="13" t="n"/>
      <c r="I15" s="13" t="n"/>
      <c r="J15" s="13" t="n"/>
      <c r="K15" s="13" t="n"/>
      <c r="L15" s="13" t="n"/>
      <c r="M15" s="13" t="n"/>
      <c r="N15" s="13" t="n"/>
      <c r="O15" s="13" t="n"/>
      <c r="P15" s="13" t="n"/>
      <c r="Q15" s="13" t="n"/>
      <c r="R15" s="13" t="n"/>
      <c r="S15" s="13" t="inlineStr">
        <is>
          <t>nodal-point operation</t>
        </is>
      </c>
      <c r="T15" s="13" t="inlineStr">
        <is>
          <t>MAY_NOT_BE_CLAIMED</t>
        </is>
      </c>
    </row>
    <row r="16">
      <c r="A16" s="13" t="inlineStr">
        <is>
          <t>R4-EXCLUDED-07</t>
        </is>
      </c>
      <c r="B16" s="13" t="inlineStr">
        <is>
          <t>excluded_claim</t>
        </is>
      </c>
      <c r="C16" s="13" t="inlineStr">
        <is>
          <t>UNSUPPORTED</t>
        </is>
      </c>
      <c r="D16" s="13" t="inlineStr">
        <is>
          <t>PUBLIC</t>
        </is>
      </c>
      <c r="E16" s="13" t="inlineStr">
        <is>
          <t>r4.EXCLUDED_CLAIMS</t>
        </is>
      </c>
      <c r="F16" s="13" t="n"/>
      <c r="G16" s="13" t="n"/>
      <c r="H16" s="13" t="n"/>
      <c r="I16" s="13" t="n"/>
      <c r="J16" s="13" t="n"/>
      <c r="K16" s="13" t="n"/>
      <c r="L16" s="13" t="n"/>
      <c r="M16" s="13" t="n"/>
      <c r="N16" s="13" t="n"/>
      <c r="O16" s="13" t="n"/>
      <c r="P16" s="13" t="n"/>
      <c r="Q16" s="13" t="n"/>
      <c r="R16" s="13" t="n"/>
      <c r="S16" s="13" t="inlineStr">
        <is>
          <t>metric actuation</t>
        </is>
      </c>
      <c r="T16" s="13" t="inlineStr">
        <is>
          <t>MAY_NOT_BE_CLAIMED</t>
        </is>
      </c>
    </row>
    <row r="17">
      <c r="A17" s="13" t="inlineStr">
        <is>
          <t>R4-EXCLUDED-08</t>
        </is>
      </c>
      <c r="B17" s="13" t="inlineStr">
        <is>
          <t>excluded_claim</t>
        </is>
      </c>
      <c r="C17" s="13" t="inlineStr">
        <is>
          <t>UNSUPPORTED</t>
        </is>
      </c>
      <c r="D17" s="13" t="inlineStr">
        <is>
          <t>PUBLIC</t>
        </is>
      </c>
      <c r="E17" s="13" t="inlineStr">
        <is>
          <t>r4.EXCLUDED_CLAIMS</t>
        </is>
      </c>
      <c r="F17" s="13" t="n"/>
      <c r="G17" s="13" t="n"/>
      <c r="H17" s="13" t="n"/>
      <c r="I17" s="13" t="n"/>
      <c r="J17" s="13" t="n"/>
      <c r="K17" s="13" t="n"/>
      <c r="L17" s="13" t="n"/>
      <c r="M17" s="13" t="n"/>
      <c r="N17" s="13" t="n"/>
      <c r="O17" s="13" t="n"/>
      <c r="P17" s="13" t="n"/>
      <c r="Q17" s="13" t="n"/>
      <c r="R17" s="13" t="n"/>
      <c r="S17" s="13" t="inlineStr">
        <is>
          <t>transport</t>
        </is>
      </c>
      <c r="T17" s="13" t="inlineStr">
        <is>
          <t>MAY_NOT_BE_CLAIMED</t>
        </is>
      </c>
    </row>
  </sheetData>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M29"/>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6" customWidth="1" min="3" max="3"/>
    <col width="15" customWidth="1" min="4" max="4"/>
    <col width="38" customWidth="1" min="5" max="5"/>
    <col width="60" customWidth="1" min="6" max="6"/>
    <col width="28" customWidth="1" min="7" max="7"/>
    <col width="60" customWidth="1" min="8" max="8"/>
    <col width="28" customWidth="1" min="9" max="9"/>
    <col width="60" customWidth="1" min="10" max="10"/>
    <col width="60" customWidth="1" min="11" max="11"/>
    <col width="60" customWidth="1" min="12" max="12"/>
    <col width="60" customWidth="1" min="13" max="13"/>
  </cols>
  <sheetData>
    <row r="1">
      <c r="A1" s="27" t="inlineStr">
        <is>
          <t>id</t>
        </is>
      </c>
      <c r="B1" s="27" t="inlineStr">
        <is>
          <t>kind</t>
        </is>
      </c>
      <c r="C1" s="27" t="inlineStr">
        <is>
          <t>evidence_class</t>
        </is>
      </c>
      <c r="D1" s="27" t="inlineStr">
        <is>
          <t>privacy_class</t>
        </is>
      </c>
      <c r="E1" s="27" t="inlineStr">
        <is>
          <t>provenance</t>
        </is>
      </c>
      <c r="F1" s="27" t="inlineStr">
        <is>
          <t>verbatim</t>
        </is>
      </c>
      <c r="G1" s="27" t="inlineStr">
        <is>
          <t>source_class</t>
        </is>
      </c>
      <c r="H1" s="27" t="inlineStr">
        <is>
          <t>translation</t>
        </is>
      </c>
      <c r="I1" s="27" t="inlineStr">
        <is>
          <t>standing</t>
        </is>
      </c>
      <c r="J1" s="27" t="inlineStr">
        <is>
          <t>ceiling</t>
        </is>
      </c>
      <c r="K1" s="27" t="inlineStr">
        <is>
          <t>correction</t>
        </is>
      </c>
      <c r="L1" s="27" t="inlineStr">
        <is>
          <t>required_evidence</t>
        </is>
      </c>
      <c r="M1" s="27" t="inlineStr">
        <is>
          <t>ordinary_first</t>
        </is>
      </c>
    </row>
    <row r="2">
      <c r="A2" s="6" t="inlineStr">
        <is>
          <t>R6-C-001</t>
        </is>
      </c>
      <c r="B2" s="6" t="inlineStr">
        <is>
          <t>source_claim</t>
        </is>
      </c>
      <c r="C2" s="6" t="inlineStr">
        <is>
          <t>SOURCE_CLAIM</t>
        </is>
      </c>
      <c r="D2" s="6" t="inlineStr">
        <is>
          <t>PUBLIC</t>
        </is>
      </c>
      <c r="E2" s="6" t="inlineStr">
        <is>
          <t>JH corpus amendment 2026-07-18</t>
        </is>
      </c>
      <c r="F2" s="6" t="inlineStr">
        <is>
          <t>The sender angle must be in resonance with the geometry of the holographic matrix that is the receiver.</t>
        </is>
      </c>
      <c r="G2" s="6" t="inlineStr">
        <is>
          <t>SOURCE_CLAIM</t>
        </is>
      </c>
      <c r="H2" s="6" t="inlineStr">
        <is>
          <t>A directional coupling hypothesis: transfer efficiency between two elements depends on their relative orientation. Modeled as an orientation-dependent mutual inductance and radiation pattern, swept over angle.</t>
        </is>
      </c>
      <c r="I2" s="6" t="inlineStr">
        <is>
          <t>HYPOTHESIS</t>
        </is>
      </c>
      <c r="J2" s="6" t="inlineStr">
        <is>
          <t>An orientation-dependent coupling coefficient. Not evidence of a holographic matrix, and 60 degrees carries no privileged status without a measured peak.</t>
        </is>
      </c>
      <c r="K2" s="6" t="inlineStr"/>
      <c r="L2" s="6" t="inlineStr">
        <is>
          <t>measured orientation-dependent coupling; geometry-matched controls at non-special angles; blinded orientation assignment</t>
        </is>
      </c>
      <c r="M2" s="6" t="inlineStr">
        <is>
          <t>impedance_and_mutual_inductance; magnetic_field; electric_field</t>
        </is>
      </c>
    </row>
    <row r="3">
      <c r="A3" s="6" t="inlineStr">
        <is>
          <t>R6-C-002</t>
        </is>
      </c>
      <c r="B3" s="6" t="inlineStr">
        <is>
          <t>source_claim</t>
        </is>
      </c>
      <c r="C3" s="6" t="inlineStr">
        <is>
          <t>SOURCE_CLAIM</t>
        </is>
      </c>
      <c r="D3" s="6" t="inlineStr">
        <is>
          <t>PUBLIC</t>
        </is>
      </c>
      <c r="E3" s="6" t="inlineStr">
        <is>
          <t>JH corpus amendment 2026-07-18</t>
        </is>
      </c>
      <c r="F3" s="6" t="inlineStr">
        <is>
          <t>Both pulses should be equal in intensity, but if you alternate the structure of the two pulses it will empower the torsion field.</t>
        </is>
      </c>
      <c r="G3" s="6" t="inlineStr">
        <is>
          <t>APPARATUS_HYPOTHESIS_SEED</t>
        </is>
      </c>
      <c r="H3" s="6" t="inlineStr">
        <is>
          <t>Two interleaved drive trains (copper 1-0-1-0-1-0, silver 0-1-0-1-0-1) at equal amplitude and opposite phase. This is a differential-mode drive; R6 decomposes any dual-coil programme into common and differential components and reports both.</t>
        </is>
      </c>
      <c r="I3" s="6" t="inlineStr">
        <is>
          <t>IMPLEMENTABLE_WITH_LIMITS</t>
        </is>
      </c>
      <c r="J3" s="6" t="inlineStr">
        <is>
          <t>A differential-mode drive programme with a measured field decomposition. 'Torsion field' has no instrument in R6, so no quantity can be said to be empowered.</t>
        </is>
      </c>
      <c r="K3" s="6" t="inlineStr"/>
      <c r="L3" s="6" t="inlineStr">
        <is>
          <t>measured current in each winding; measured field decomposition; a defined, instrumented observable for 'torsion field'</t>
        </is>
      </c>
      <c r="M3" s="6" t="inlineStr">
        <is>
          <t>drive_current; drive_voltage; magnetic_field; impedance_and_mutual_inductance</t>
        </is>
      </c>
    </row>
    <row r="4">
      <c r="A4" s="6" t="inlineStr">
        <is>
          <t>R6-C-003</t>
        </is>
      </c>
      <c r="B4" s="6" t="inlineStr">
        <is>
          <t>source_claim</t>
        </is>
      </c>
      <c r="C4" s="6" t="inlineStr">
        <is>
          <t>SOURCE_CLAIM</t>
        </is>
      </c>
      <c r="D4" s="6" t="inlineStr">
        <is>
          <t>PUBLIC</t>
        </is>
      </c>
      <c r="E4" s="6" t="inlineStr">
        <is>
          <t>JH corpus amendment 2026-07-18</t>
        </is>
      </c>
      <c r="F4" s="6" t="inlineStr">
        <is>
          <t>The crystal must be perpendicular to the planet's surface, in alignment with the planet's center core. This is important regarding the electromagnetic field of the planet.</t>
        </is>
      </c>
      <c r="G4" s="6" t="inlineStr">
        <is>
          <t>SOURCE_CLAIM</t>
        </is>
      </c>
      <c r="H4" s="6" t="inlineStr">
        <is>
          <t>An orientation hypothesis testable against the local geomagnetic vector. R6 builds an orientation discriminator that compares aligned, anti-aligned, orthogonal and randomized mountings.</t>
        </is>
      </c>
      <c r="I4" s="6" t="inlineStr">
        <is>
          <t>HYPOTHESIS</t>
        </is>
      </c>
      <c r="J4" s="6" t="inlineStr">
        <is>
          <t>An orientation-dependent response, or its absence. The local geomagnetic field is ~25-65 microtesla and static; any claimed dependence must exceed the orientation null.</t>
        </is>
      </c>
      <c r="K4" s="6" t="inlineStr"/>
      <c r="L4" s="6" t="inlineStr">
        <is>
          <t>IGRF local field vector; orientation sweep with randomized order; null distribution over orientation</t>
        </is>
      </c>
      <c r="M4" s="6" t="inlineStr">
        <is>
          <t>magnetic_field; displacement_and_strain; environmental_and_instrumentation_crosstalk</t>
        </is>
      </c>
    </row>
    <row r="5">
      <c r="A5" s="6" t="inlineStr">
        <is>
          <t>R6-C-004</t>
        </is>
      </c>
      <c r="B5" s="6" t="inlineStr">
        <is>
          <t>source_claim</t>
        </is>
      </c>
      <c r="C5" s="6" t="inlineStr">
        <is>
          <t>SOURCE_CLAIM</t>
        </is>
      </c>
      <c r="D5" s="6" t="inlineStr">
        <is>
          <t>PUBLIC</t>
        </is>
      </c>
      <c r="E5" s="6" t="inlineStr">
        <is>
          <t>JH corpus amendment 2026-07-18</t>
        </is>
      </c>
      <c r="F5" s="6" t="inlineStr">
        <is>
          <t>It is preferable that the wiring stops below the angle of the pyramidion. A crystal has its proper form dynamics. It needs to be pulsing freely.</t>
        </is>
      </c>
      <c r="G5" s="6" t="inlineStr">
        <is>
          <t>APPARATUS_HYPOTHESIS_SEED</t>
        </is>
      </c>
      <c r="H5" s="6" t="inlineStr">
        <is>
          <t>Mechanical loading by windings damps the crystal's acoustic modes. Terminating the winding below the termination face reduces mass loading and clamping at the antinode. This is a standard resonator-Q argument.</t>
        </is>
      </c>
      <c r="I5" s="6" t="inlineStr">
        <is>
          <t>IMPLEMENTABLE</t>
        </is>
      </c>
      <c r="J5" s="6" t="inlineStr">
        <is>
          <t>A mass-loading and clamping effect on modal Q. This is ordinary mechanics and needs no new mechanism.</t>
        </is>
      </c>
      <c r="K5" s="6" t="inlineStr"/>
      <c r="L5" s="6" t="inlineStr">
        <is>
          <t>modal analysis with and without winding load; measured Q against winding coverage</t>
        </is>
      </c>
      <c r="M5" s="6" t="inlineStr">
        <is>
          <t>displacement_and_strain; sound_and_ultrasound</t>
        </is>
      </c>
    </row>
    <row r="6">
      <c r="A6" s="6" t="inlineStr">
        <is>
          <t>R6-C-005</t>
        </is>
      </c>
      <c r="B6" s="6" t="inlineStr">
        <is>
          <t>source_claim</t>
        </is>
      </c>
      <c r="C6" s="6" t="inlineStr">
        <is>
          <t>SOURCE_CLAIM</t>
        </is>
      </c>
      <c r="D6" s="6" t="inlineStr">
        <is>
          <t>PUBLIC</t>
        </is>
      </c>
      <c r="E6" s="6" t="inlineStr">
        <is>
          <t>JH corpus amendment 2026-07-18</t>
        </is>
      </c>
      <c r="F6" s="6" t="inlineStr">
        <is>
          <t>Why is it that the singularity vortex only opens when piezoelectrically stimulated? Because of the pulse.</t>
        </is>
      </c>
      <c r="G6" s="6" t="inlineStr">
        <is>
          <t>SOURCE_CLAIM</t>
        </is>
      </c>
      <c r="H6" s="6" t="inlineStr">
        <is>
          <t>A pulse has broadband spectral content that a sinusoid does not. R6 models the pulse spectrum and the piezoelectric response, and asks whether any observable requires broadband excitation.</t>
        </is>
      </c>
      <c r="I6" s="6" t="inlineStr">
        <is>
          <t>UNSUPPORTED_AS_ABSOLUTE</t>
        </is>
      </c>
      <c r="J6" s="6" t="inlineStr">
        <is>
          <t>A bandwidth-dependent response. 'Singularity vortex' has no definition, no instrument, and no proposed signature; R6 cannot test it and does not claim to.</t>
        </is>
      </c>
      <c r="K6" s="6" t="inlineStr"/>
      <c r="L6" s="6" t="inlineStr">
        <is>
          <t>pulse spectrum characterization; matched-energy sinusoidal control; a defined observable for 'vortex opening'</t>
        </is>
      </c>
      <c r="M6" s="6" t="inlineStr">
        <is>
          <t>crystal_charge; displacement_and_strain; electric_field; sound_and_ultrasound</t>
        </is>
      </c>
    </row>
    <row r="7">
      <c r="A7" s="6" t="inlineStr">
        <is>
          <t>R6-C-006</t>
        </is>
      </c>
      <c r="B7" s="6" t="inlineStr">
        <is>
          <t>source_claim</t>
        </is>
      </c>
      <c r="C7" s="6" t="inlineStr">
        <is>
          <t>SOURCE_CLAIM</t>
        </is>
      </c>
      <c r="D7" s="6" t="inlineStr">
        <is>
          <t>PUBLIC</t>
        </is>
      </c>
      <c r="E7" s="6" t="inlineStr">
        <is>
          <t>JH corpus amendment 2026-07-18</t>
        </is>
      </c>
      <c r="F7" s="6" t="inlineStr">
        <is>
          <t>1496 Hz preferred; 644 Hz; 587 Hz.</t>
        </is>
      </c>
      <c r="G7" s="6" t="inlineStr">
        <is>
          <t>SOURCE_CLAIM</t>
        </is>
      </c>
      <c r="H7" s="6" t="inlineStr">
        <is>
          <t>Three candidate acoustic drive frequencies. R6 places them in the pulse/acoustic model and tests them against the specimen's own computed modal spectrum and against frequency-matched nulls.</t>
        </is>
      </c>
      <c r="I7" s="6" t="inlineStr">
        <is>
          <t>HYPOTHESIS</t>
        </is>
      </c>
      <c r="J7" s="6" t="inlineStr">
        <is>
          <t>Three frequencies to test. Their significance must survive the v4.6 lesson: a null matched in granularity to the candidate set, not to a continuum.</t>
        </is>
      </c>
      <c r="K7" s="6" t="inlineStr"/>
      <c r="L7" s="6" t="inlineStr">
        <is>
          <t>specimen modal spectrum; frequency sweep including these three; granularity-matched null over the same band</t>
        </is>
      </c>
      <c r="M7" s="6" t="inlineStr">
        <is>
          <t>sound_and_ultrasound; displacement_and_strain</t>
        </is>
      </c>
    </row>
    <row r="8">
      <c r="A8" s="6" t="inlineStr">
        <is>
          <t>R6-C-007</t>
        </is>
      </c>
      <c r="B8" s="6" t="inlineStr">
        <is>
          <t>source_claim</t>
        </is>
      </c>
      <c r="C8" s="6" t="inlineStr">
        <is>
          <t>SOURCE_CLAIM</t>
        </is>
      </c>
      <c r="D8" s="6" t="inlineStr">
        <is>
          <t>PUBLIC</t>
        </is>
      </c>
      <c r="E8" s="6" t="inlineStr">
        <is>
          <t>JH corpus amendment 2026-07-18</t>
        </is>
      </c>
      <c r="F8" s="6" t="inlineStr">
        <is>
          <t>No, as the etheric field is a torsion field in constant movement.</t>
        </is>
      </c>
      <c r="G8" s="6" t="inlineStr">
        <is>
          <t>SOURCE_CLAIM</t>
        </is>
      </c>
      <c r="H8" s="6" t="inlineStr">
        <is>
          <t>A rejection of Vogel's fixed critical rotational angle in favour of a time-varying field. R6 models this as the difference between a static orientation optimum and a rotating-field drive, which are distinguishable experiments.</t>
        </is>
      </c>
      <c r="I8" s="6" t="inlineStr">
        <is>
          <t>FACTUALLY_CORRECTED</t>
        </is>
      </c>
      <c r="J8" s="6" t="inlineStr">
        <is>
          <t>Two distinguishable drive regimes to compare. 'Etheric field' and 'torsion field' remain undefined and un-instrumented.</t>
        </is>
      </c>
      <c r="K8" s="6" t="inlineStr">
        <is>
          <t>The source uses this statement to dismiss a fixed critical angle, but a field 'in constant movement' does not eliminate a preferred angle; it makes the response depend on rotation rate as well as angle. The two claims are not alternatives. R6 tests both axes.</t>
        </is>
      </c>
      <c r="L8" s="6" t="inlineStr">
        <is>
          <t>static-angle sweep; rotating-field drive with controlled rotation rate; comparison of the two response surfaces</t>
        </is>
      </c>
      <c r="M8" s="6" t="inlineStr">
        <is>
          <t>magnetic_field; drive_current</t>
        </is>
      </c>
    </row>
    <row r="9">
      <c r="A9" s="6" t="inlineStr">
        <is>
          <t>R6-C-008</t>
        </is>
      </c>
      <c r="B9" s="6" t="inlineStr">
        <is>
          <t>source_claim</t>
        </is>
      </c>
      <c r="C9" s="6" t="inlineStr">
        <is>
          <t>SOURCE_CLAIM</t>
        </is>
      </c>
      <c r="D9" s="6" t="inlineStr">
        <is>
          <t>PUBLIC</t>
        </is>
      </c>
      <c r="E9" s="6" t="inlineStr">
        <is>
          <t>JH corpus amendment 2026-07-18</t>
        </is>
      </c>
      <c r="F9" s="6" t="inlineStr">
        <is>
          <t>A 52 degree copper cone or pyramid collector for accumulated charge. Anything that measure the electric charge in the photonic field.</t>
        </is>
      </c>
      <c r="G9" s="6" t="inlineStr">
        <is>
          <t>APPARATUS_HYPOTHESIS_SEED</t>
        </is>
      </c>
      <c r="H9" s="6" t="inlineStr">
        <is>
          <t>An electrostatic collector. R6 models it as a capacitive pickup with a computed geometry-dependent capacitance and charge sensitivity.</t>
        </is>
      </c>
      <c r="I9" s="6" t="inlineStr">
        <is>
          <t>IMPLEMENTABLE_WITH_LIMITS</t>
        </is>
      </c>
      <c r="J9" s="6" t="inlineStr">
        <is>
          <t>A capacitive charge measurement. Photons carry no electric charge, so 'charge in the photonic field' has no referent; the instrument measures collector charge.</t>
        </is>
      </c>
      <c r="K9" s="6" t="inlineStr">
        <is>
          <t>Photons are electrically neutral. The phrase is recorded verbatim but cannot be implemented as stated; the implementable reading is collector charge.</t>
        </is>
      </c>
      <c r="L9" s="6" t="inlineStr">
        <is>
          <t>electrostatic model of the collector; measured charge with and without drive; sham-drive control</t>
        </is>
      </c>
      <c r="M9" s="6" t="inlineStr">
        <is>
          <t>collector_charge; electric_field; electrostatic_ion_ozone_humidity_airflow</t>
        </is>
      </c>
    </row>
    <row r="10">
      <c r="A10" s="6" t="inlineStr">
        <is>
          <t>R6-C-101</t>
        </is>
      </c>
      <c r="B10" s="6" t="inlineStr">
        <is>
          <t>source_claim</t>
        </is>
      </c>
      <c r="C10" s="6" t="inlineStr">
        <is>
          <t>SOURCE_CLAIM</t>
        </is>
      </c>
      <c r="D10" s="6" t="inlineStr">
        <is>
          <t>PUBLIC</t>
        </is>
      </c>
      <c r="E10" s="6" t="inlineStr">
        <is>
          <t>metric witness amendment 2026-07-18</t>
        </is>
      </c>
      <c r="F10" s="6" t="inlineStr">
        <is>
          <t>epoch returned as the time of decay of the cesium clock source</t>
        </is>
      </c>
      <c r="G10" s="6" t="inlineStr">
        <is>
          <t>OPERATOR_ARCHITECTURE_NOTE</t>
        </is>
      </c>
      <c r="H10" s="6" t="inlineStr">
        <is>
          <t>An epoch stamped against a caesium time reference. The implementable reading is a timestamp traceable to a caesium primary standard.</t>
        </is>
      </c>
      <c r="I10" s="6" t="inlineStr">
        <is>
          <t>FACTUALLY_CORRECTED</t>
        </is>
      </c>
      <c r="J10" s="6" t="inlineStr">
        <is>
          <t>A timestamp on a declared timescale with a declared traceability chain.</t>
        </is>
      </c>
      <c r="K10" s="6" t="inlineStr">
        <is>
          <t>The SI second is defined by the caesium-133 ground-state hyperfine TRANSITION frequency (9 192 631 770 Hz), not by radioactive decay. Caesium-133 is stable. 'Time of decay of the caesium source' describes no real process; R6 implements a transition-referenced epoch.</t>
        </is>
      </c>
      <c r="L10" s="6" t="inlineStr">
        <is>
          <t>traceable time source; declared timescale</t>
        </is>
      </c>
      <c r="M10" s="6" t="inlineStr"/>
    </row>
    <row r="11">
      <c r="A11" s="6" t="inlineStr">
        <is>
          <t>R6-C-102</t>
        </is>
      </c>
      <c r="B11" s="6" t="inlineStr">
        <is>
          <t>source_claim</t>
        </is>
      </c>
      <c r="C11" s="6" t="inlineStr">
        <is>
          <t>SOURCE_CLAIM</t>
        </is>
      </c>
      <c r="D11" s="6" t="inlineStr">
        <is>
          <t>PUBLIC</t>
        </is>
      </c>
      <c r="E11" s="6" t="inlineStr">
        <is>
          <t>metric witness amendment 2026-07-18</t>
        </is>
      </c>
      <c r="F11" s="6" t="inlineStr">
        <is>
          <t>memory is approximate and decays like human memory</t>
        </is>
      </c>
      <c r="G11" s="6" t="inlineStr">
        <is>
          <t>OPERATOR_ARCHITECTURE_NOTE</t>
        </is>
      </c>
      <c r="H11" s="6" t="inlineStr">
        <is>
          <t>A stretched-exponential relaxation of the payload posterior toward a declared prior, with the decay law, prior and refresh policy all explicit.</t>
        </is>
      </c>
      <c r="I11" s="6" t="inlineStr">
        <is>
          <t>IMPLEMENTABLE_WITH_LIMITS</t>
        </is>
      </c>
      <c r="J11" s="6" t="inlineStr">
        <is>
          <t>A modeled relaxation with reported posterior uncertainty. Decay is not evidence of a clock and not evidence of proper time.</t>
        </is>
      </c>
      <c r="K11" s="6" t="inlineStr"/>
      <c r="L11" s="6" t="inlineStr">
        <is>
          <t>characterized decay law; nuisance controls for the twelve ordinary causes</t>
        </is>
      </c>
      <c r="M11" s="6" t="inlineStr"/>
    </row>
    <row r="12">
      <c r="A12" s="6" t="inlineStr">
        <is>
          <t>R6-C-103</t>
        </is>
      </c>
      <c r="B12" s="6" t="inlineStr">
        <is>
          <t>source_claim</t>
        </is>
      </c>
      <c r="C12" s="6" t="inlineStr">
        <is>
          <t>SOURCE_CLAIM</t>
        </is>
      </c>
      <c r="D12" s="6" t="inlineStr">
        <is>
          <t>PUBLIC</t>
        </is>
      </c>
      <c r="E12" s="6" t="inlineStr">
        <is>
          <t>Gemini value-claim correction matrix</t>
        </is>
      </c>
      <c r="F12" s="6" t="inlineStr">
        <is>
          <t>active self-documenting witness</t>
        </is>
      </c>
      <c r="G12" s="6" t="inlineStr">
        <is>
          <t>MODEL_INTERPRETATION</t>
        </is>
      </c>
      <c r="H12" s="6" t="inlineStr">
        <is>
          <t>A clock-attested event logger with environmental records and signed receipts.</t>
        </is>
      </c>
      <c r="I12" s="6" t="inlineStr">
        <is>
          <t>HYPOTHESIS</t>
        </is>
      </c>
      <c r="J12" s="6" t="inlineStr">
        <is>
          <t>A clock-attested event logger.</t>
        </is>
      </c>
      <c r="K12" s="6" t="inlineStr"/>
      <c r="L12" s="6" t="inlineStr">
        <is>
          <t>calibrated oscillator; signed receipts</t>
        </is>
      </c>
      <c r="M12" s="6" t="inlineStr"/>
    </row>
    <row r="13">
      <c r="A13" s="6" t="inlineStr">
        <is>
          <t>R6-C-104</t>
        </is>
      </c>
      <c r="B13" s="6" t="inlineStr">
        <is>
          <t>source_claim</t>
        </is>
      </c>
      <c r="C13" s="6" t="inlineStr">
        <is>
          <t>SOURCE_CLAIM</t>
        </is>
      </c>
      <c r="D13" s="6" t="inlineStr">
        <is>
          <t>PUBLIC</t>
        </is>
      </c>
      <c r="E13" s="6" t="inlineStr">
        <is>
          <t>Gemini value-claim correction matrix</t>
        </is>
      </c>
      <c r="F13" s="6" t="inlineStr">
        <is>
          <t>tamper-evident spacetime log</t>
        </is>
      </c>
      <c r="G13" s="6" t="inlineStr">
        <is>
          <t>MODEL_INTERPRETATION</t>
        </is>
      </c>
      <c r="H13" s="6" t="inlineStr">
        <is>
          <t>A cryptographically chained, time-bounded log with hash chain, signatures and clock attestation.</t>
        </is>
      </c>
      <c r="I13" s="6" t="inlineStr">
        <is>
          <t>IMPLEMENTABLE</t>
        </is>
      </c>
      <c r="J13" s="6" t="inlineStr">
        <is>
          <t>A tamper-evident log. The adjective 'spacetime' adds nothing the cryptography provides; physical drift alone is not tamper evidence.</t>
        </is>
      </c>
      <c r="K13" s="6" t="inlineStr"/>
      <c r="L13" s="6" t="inlineStr">
        <is>
          <t>hash chain; signatures; clock attestation</t>
        </is>
      </c>
      <c r="M13" s="6" t="inlineStr"/>
    </row>
    <row r="14">
      <c r="A14" s="6" t="inlineStr">
        <is>
          <t>R6-C-105</t>
        </is>
      </c>
      <c r="B14" s="6" t="inlineStr">
        <is>
          <t>source_claim</t>
        </is>
      </c>
      <c r="C14" s="6" t="inlineStr">
        <is>
          <t>SOURCE_CLAIM</t>
        </is>
      </c>
      <c r="D14" s="6" t="inlineStr">
        <is>
          <t>PUBLIC</t>
        </is>
      </c>
      <c r="E14" s="6" t="inlineStr">
        <is>
          <t>Gemini value-claim correction matrix</t>
        </is>
      </c>
      <c r="F14" s="6" t="inlineStr">
        <is>
          <t>re-inflate degraded data</t>
        </is>
      </c>
      <c r="G14" s="6" t="inlineStr">
        <is>
          <t>MODEL_INTERPRETATION</t>
        </is>
      </c>
      <c r="H14" s="6" t="inlineStr">
        <is>
          <t>Bayesian reconstruction from a declared prior and new observations, reporting posterior uncertainty and refusing under non-identifiability.</t>
        </is>
      </c>
      <c r="I14" s="6" t="inlineStr">
        <is>
          <t>IMPLEMENTABLE_WITH_REFUSAL</t>
        </is>
      </c>
      <c r="J14" s="6" t="inlineStr">
        <is>
          <t>Bounded reconstruction. A root certificate and a prior cannot restore information the channel destroyed.</t>
        </is>
      </c>
      <c r="K14" s="6" t="inlineStr"/>
      <c r="L14" s="6" t="inlineStr">
        <is>
          <t>identifiable likelihood; posterior uncertainty</t>
        </is>
      </c>
      <c r="M14" s="6" t="inlineStr"/>
    </row>
    <row r="15">
      <c r="A15" s="6" t="inlineStr">
        <is>
          <t>R6-C-106</t>
        </is>
      </c>
      <c r="B15" s="6" t="inlineStr">
        <is>
          <t>source_claim</t>
        </is>
      </c>
      <c r="C15" s="6" t="inlineStr">
        <is>
          <t>SOURCE_CLAIM</t>
        </is>
      </c>
      <c r="D15" s="6" t="inlineStr">
        <is>
          <t>PUBLIC</t>
        </is>
      </c>
      <c r="E15" s="6" t="inlineStr">
        <is>
          <t>Gemini value-claim correction matrix</t>
        </is>
      </c>
      <c r="F15" s="6" t="inlineStr">
        <is>
          <t>metric-defined positioning</t>
        </is>
      </c>
      <c r="G15" s="6" t="inlineStr">
        <is>
          <t>MODEL_INTERPRETATION</t>
        </is>
      </c>
      <c r="H15" s="6" t="inlineStr">
        <is>
          <t>Clock-, gravity-, inertial- and map-aided navigation with an explicit observability analysis.</t>
        </is>
      </c>
      <c r="I15" s="6" t="inlineStr">
        <is>
          <t>NOT_YET_ACHIEVED</t>
        </is>
      </c>
      <c r="J15" s="6" t="inlineStr">
        <is>
          <t>A bounded position estimate when the posterior is informative, and POSITION_UNOBSERVABLE when it is not.</t>
        </is>
      </c>
      <c r="K15" s="6" t="inlineStr"/>
      <c r="L15" s="6" t="inlineStr">
        <is>
          <t>multiple sensors; field model; initial conditions</t>
        </is>
      </c>
      <c r="M15" s="6" t="inlineStr"/>
    </row>
    <row r="16">
      <c r="A16" s="6" t="inlineStr">
        <is>
          <t>R6-C-107</t>
        </is>
      </c>
      <c r="B16" s="6" t="inlineStr">
        <is>
          <t>source_claim</t>
        </is>
      </c>
      <c r="C16" s="6" t="inlineStr">
        <is>
          <t>SOURCE_CLAIM</t>
        </is>
      </c>
      <c r="D16" s="6" t="inlineStr">
        <is>
          <t>PUBLIC</t>
        </is>
      </c>
      <c r="E16" s="6" t="inlineStr">
        <is>
          <t>Gemini value-claim correction matrix</t>
        </is>
      </c>
      <c r="F16" s="6" t="inlineStr">
        <is>
          <t>sovereign navigation</t>
        </is>
      </c>
      <c r="G16" s="6" t="inlineStr">
        <is>
          <t>MODEL_INTERPRETATION</t>
        </is>
      </c>
      <c r="H16" s="6" t="inlineStr">
        <is>
          <t>Documented signal-denied navigation with its actual external dependencies stated.</t>
        </is>
      </c>
      <c r="I16" s="6" t="inlineStr">
        <is>
          <t>UNSUPPORTED_AS_ABSOLUTE</t>
        </is>
      </c>
      <c r="J16" s="6" t="inlineStr">
        <is>
          <t>SOVEREIGN_NAVIGATION_UNSUPPORTED. Every candidate signal-denied method depends on maps, ephemerides, field models or initial conditions supplied from outside.</t>
        </is>
      </c>
      <c r="K16" s="6" t="inlineStr"/>
      <c r="L16" s="6" t="inlineStr">
        <is>
          <t>bench field trials; observability report</t>
        </is>
      </c>
      <c r="M16" s="6" t="inlineStr"/>
    </row>
    <row r="17">
      <c r="A17" s="6" t="inlineStr">
        <is>
          <t>R6-C-108</t>
        </is>
      </c>
      <c r="B17" s="6" t="inlineStr">
        <is>
          <t>source_claim</t>
        </is>
      </c>
      <c r="C17" s="6" t="inlineStr">
        <is>
          <t>SOURCE_CLAIM</t>
        </is>
      </c>
      <c r="D17" s="6" t="inlineStr">
        <is>
          <t>PUBLIC</t>
        </is>
      </c>
      <c r="E17" s="6" t="inlineStr">
        <is>
          <t>Gemini value-claim correction matrix</t>
        </is>
      </c>
      <c r="F17" s="6" t="inlineStr">
        <is>
          <t>entire causal history reconstruction</t>
        </is>
      </c>
      <c r="G17" s="6" t="inlineStr">
        <is>
          <t>MODEL_INTERPRETATION</t>
        </is>
      </c>
      <c r="H17" s="6" t="inlineStr">
        <is>
          <t>Bounded reconstruction of the measured path variables that the channel actually recorded.</t>
        </is>
      </c>
      <c r="I17" s="6" t="inlineStr">
        <is>
          <t>UNSUPPORTED_AS_COMPLETE</t>
        </is>
      </c>
      <c r="J17" s="6" t="inlineStr">
        <is>
          <t>Reconstruction of what was measured, with uncertainty. A module is not automatically a complete causal-history recorder.</t>
        </is>
      </c>
      <c r="K17" s="6" t="inlineStr"/>
      <c r="L17" s="6" t="inlineStr">
        <is>
          <t>observable invertible channel</t>
        </is>
      </c>
      <c r="M17" s="6" t="inlineStr"/>
    </row>
    <row r="18">
      <c r="A18" s="6" t="inlineStr">
        <is>
          <t>R6-C-109</t>
        </is>
      </c>
      <c r="B18" s="6" t="inlineStr">
        <is>
          <t>source_claim</t>
        </is>
      </c>
      <c r="C18" s="6" t="inlineStr">
        <is>
          <t>SOURCE_CLAIM</t>
        </is>
      </c>
      <c r="D18" s="6" t="inlineStr">
        <is>
          <t>PUBLIC</t>
        </is>
      </c>
      <c r="E18" s="6" t="inlineStr">
        <is>
          <t>Gemini value-claim correction matrix</t>
        </is>
      </c>
      <c r="F18" s="6" t="inlineStr">
        <is>
          <t>protocol authority for spacetime-indexed information</t>
        </is>
      </c>
      <c r="G18" s="6" t="inlineStr">
        <is>
          <t>MODEL_INTERPRETATION</t>
        </is>
      </c>
      <c r="H18" s="6" t="inlineStr">
        <is>
          <t>An open draft protocol with a conformance suite and test vectors.</t>
        </is>
      </c>
      <c r="I18" s="6" t="inlineStr">
        <is>
          <t>NOT_AUTHORITY_YET</t>
        </is>
      </c>
      <c r="J18" s="6" t="inlineStr">
        <is>
          <t>EXPERIMENTAL_SCHEMA advancing to DRAFT_PROTOCOL.</t>
        </is>
      </c>
      <c r="K18" s="6" t="inlineStr"/>
      <c r="L18" s="6" t="inlineStr">
        <is>
          <t>independent implementations; governance; adoption</t>
        </is>
      </c>
      <c r="M18" s="6" t="inlineStr"/>
    </row>
    <row r="19">
      <c r="A19" s="6" t="inlineStr">
        <is>
          <t>R6-C-110</t>
        </is>
      </c>
      <c r="B19" s="6" t="inlineStr">
        <is>
          <t>source_claim</t>
        </is>
      </c>
      <c r="C19" s="6" t="inlineStr">
        <is>
          <t>SOURCE_CLAIM</t>
        </is>
      </c>
      <c r="D19" s="6" t="inlineStr">
        <is>
          <t>PUBLIC</t>
        </is>
      </c>
      <c r="E19" s="6" t="inlineStr">
        <is>
          <t>Gemini value-claim correction matrix</t>
        </is>
      </c>
      <c r="F19" s="6" t="inlineStr">
        <is>
          <t>distributed spacetime sensor network</t>
        </is>
      </c>
      <c r="G19" s="6" t="inlineStr">
        <is>
          <t>MODEL_INTERPRETATION</t>
        </is>
      </c>
      <c r="H19" s="6" t="inlineStr">
        <is>
          <t>A distributed clock-comparison network using calibrated clocks and phase-transfer links.</t>
        </is>
      </c>
      <c r="I19" s="6" t="inlineStr">
        <is>
          <t>PLAUSIBLE_PROGRAMME</t>
        </is>
      </c>
      <c r="J19" s="6" t="inlineStr">
        <is>
          <t>Relativistic geodesy with optical clock networks is real and published. R6 models it; R6 has not built one.</t>
        </is>
      </c>
      <c r="K19" s="6" t="inlineStr"/>
      <c r="L19" s="6" t="inlineStr">
        <is>
          <t>calibrated clocks; phase-transfer links</t>
        </is>
      </c>
      <c r="M19" s="6" t="inlineStr"/>
    </row>
    <row r="20">
      <c r="A20" s="6" t="inlineStr">
        <is>
          <t>R6-C-111</t>
        </is>
      </c>
      <c r="B20" s="6" t="inlineStr">
        <is>
          <t>source_claim</t>
        </is>
      </c>
      <c r="C20" s="6" t="inlineStr">
        <is>
          <t>SOURCE_CLAIM</t>
        </is>
      </c>
      <c r="D20" s="6" t="inlineStr">
        <is>
          <t>PUBLIC</t>
        </is>
      </c>
      <c r="E20" s="6" t="inlineStr">
        <is>
          <t>metric witness amendment 2026-07-18</t>
        </is>
      </c>
      <c r="F20" s="6" t="inlineStr">
        <is>
          <t>spin stores payload, not address</t>
        </is>
      </c>
      <c r="G20" s="6" t="inlineStr">
        <is>
          <t>OPERATOR_ARCHITECTURE_NOTE</t>
        </is>
      </c>
      <c r="H20" s="6" t="inlineStr">
        <is>
          <t>The R4 firewall restated: the exact address is digital and never stored in a physical spin state.</t>
        </is>
      </c>
      <c r="I20" s="6" t="inlineStr">
        <is>
          <t>IMPLEMENTABLE</t>
        </is>
      </c>
      <c r="J20" s="6" t="inlineStr">
        <is>
          <t>An architectural invariant, already enforced by r4.radix.refuse_address_in_spin().</t>
        </is>
      </c>
      <c r="K20" s="6" t="inlineStr"/>
      <c r="L20" s="6" t="inlineStr"/>
      <c r="M20" s="6" t="inlineStr"/>
    </row>
    <row r="21">
      <c r="A21" s="6" t="inlineStr">
        <is>
          <t>R6-C-201</t>
        </is>
      </c>
      <c r="B21" s="6" t="inlineStr">
        <is>
          <t>source_claim</t>
        </is>
      </c>
      <c r="C21" s="6" t="inlineStr">
        <is>
          <t>SOURCE_CLAIM</t>
        </is>
      </c>
      <c r="D21" s="6" t="inlineStr">
        <is>
          <t>PUBLIC</t>
        </is>
      </c>
      <c r="E21" s="6" t="inlineStr">
        <is>
          <t>JH corpus (biological lane)</t>
        </is>
      </c>
      <c r="F21" s="6" t="inlineStr">
        <is>
          <t>dna repair</t>
        </is>
      </c>
      <c r="G21" s="6" t="inlineStr">
        <is>
          <t>LORE</t>
        </is>
      </c>
      <c r="H21" s="6" t="inlineStr">
        <is>
          <t>not translated; R6 does not test this claim</t>
        </is>
      </c>
      <c r="I21" s="6" t="inlineStr">
        <is>
          <t>REFUSED_NOT_TESTED</t>
        </is>
      </c>
      <c r="J21" s="6" t="inlineStr">
        <is>
          <t>No result. Registering the refusal keeps the claim visible instead of silently absent.</t>
        </is>
      </c>
      <c r="K21" s="6" t="inlineStr"/>
      <c r="L21" s="6" t="inlineStr">
        <is>
          <t>independent medical/ethics programme; institutional oversight; preregistration</t>
        </is>
      </c>
      <c r="M21" s="6" t="inlineStr"/>
    </row>
    <row r="22">
      <c r="A22" s="6" t="inlineStr">
        <is>
          <t>R6-C-202</t>
        </is>
      </c>
      <c r="B22" s="6" t="inlineStr">
        <is>
          <t>source_claim</t>
        </is>
      </c>
      <c r="C22" s="6" t="inlineStr">
        <is>
          <t>SOURCE_CLAIM</t>
        </is>
      </c>
      <c r="D22" s="6" t="inlineStr">
        <is>
          <t>PUBLIC</t>
        </is>
      </c>
      <c r="E22" s="6" t="inlineStr">
        <is>
          <t>JH corpus (biological lane)</t>
        </is>
      </c>
      <c r="F22" s="6" t="inlineStr">
        <is>
          <t>hydrogen bonds and chromosomes</t>
        </is>
      </c>
      <c r="G22" s="6" t="inlineStr">
        <is>
          <t>LORE</t>
        </is>
      </c>
      <c r="H22" s="6" t="inlineStr">
        <is>
          <t>not translated; R6 does not test this claim</t>
        </is>
      </c>
      <c r="I22" s="6" t="inlineStr">
        <is>
          <t>REFUSED_NOT_TESTED</t>
        </is>
      </c>
      <c r="J22" s="6" t="inlineStr">
        <is>
          <t>No result. Registering the refusal keeps the claim visible instead of silently absent.</t>
        </is>
      </c>
      <c r="K22" s="6" t="inlineStr"/>
      <c r="L22" s="6" t="inlineStr">
        <is>
          <t>independent medical/ethics programme; institutional oversight; preregistration</t>
        </is>
      </c>
      <c r="M22" s="6" t="inlineStr"/>
    </row>
    <row r="23">
      <c r="A23" s="6" t="inlineStr">
        <is>
          <t>R6-C-203</t>
        </is>
      </c>
      <c r="B23" s="6" t="inlineStr">
        <is>
          <t>source_claim</t>
        </is>
      </c>
      <c r="C23" s="6" t="inlineStr">
        <is>
          <t>SOURCE_CLAIM</t>
        </is>
      </c>
      <c r="D23" s="6" t="inlineStr">
        <is>
          <t>PUBLIC</t>
        </is>
      </c>
      <c r="E23" s="6" t="inlineStr">
        <is>
          <t>JH corpus (biological lane)</t>
        </is>
      </c>
      <c r="F23" s="6" t="inlineStr">
        <is>
          <t>regeneration</t>
        </is>
      </c>
      <c r="G23" s="6" t="inlineStr">
        <is>
          <t>LORE</t>
        </is>
      </c>
      <c r="H23" s="6" t="inlineStr">
        <is>
          <t>not translated; R6 does not test this claim</t>
        </is>
      </c>
      <c r="I23" s="6" t="inlineStr">
        <is>
          <t>REFUSED_NOT_TESTED</t>
        </is>
      </c>
      <c r="J23" s="6" t="inlineStr">
        <is>
          <t>No result. Registering the refusal keeps the claim visible instead of silently absent.</t>
        </is>
      </c>
      <c r="K23" s="6" t="inlineStr"/>
      <c r="L23" s="6" t="inlineStr">
        <is>
          <t>independent medical/ethics programme; institutional oversight; preregistration</t>
        </is>
      </c>
      <c r="M23" s="6" t="inlineStr"/>
    </row>
    <row r="24">
      <c r="A24" s="6" t="inlineStr">
        <is>
          <t>R6-C-204</t>
        </is>
      </c>
      <c r="B24" s="6" t="inlineStr">
        <is>
          <t>source_claim</t>
        </is>
      </c>
      <c r="C24" s="6" t="inlineStr">
        <is>
          <t>SOURCE_CLAIM</t>
        </is>
      </c>
      <c r="D24" s="6" t="inlineStr">
        <is>
          <t>PUBLIC</t>
        </is>
      </c>
      <c r="E24" s="6" t="inlineStr">
        <is>
          <t>JH corpus (biological lane)</t>
        </is>
      </c>
      <c r="F24" s="6" t="inlineStr">
        <is>
          <t>reduced food requirements</t>
        </is>
      </c>
      <c r="G24" s="6" t="inlineStr">
        <is>
          <t>LORE</t>
        </is>
      </c>
      <c r="H24" s="6" t="inlineStr">
        <is>
          <t>not translated; R6 does not test this claim</t>
        </is>
      </c>
      <c r="I24" s="6" t="inlineStr">
        <is>
          <t>REFUSED_NOT_TESTED</t>
        </is>
      </c>
      <c r="J24" s="6" t="inlineStr">
        <is>
          <t>No result. Registering the refusal keeps the claim visible instead of silently absent.</t>
        </is>
      </c>
      <c r="K24" s="6" t="inlineStr"/>
      <c r="L24" s="6" t="inlineStr">
        <is>
          <t>independent medical/ethics programme; institutional oversight; preregistration</t>
        </is>
      </c>
      <c r="M24" s="6" t="inlineStr"/>
    </row>
    <row r="25">
      <c r="A25" s="6" t="inlineStr">
        <is>
          <t>R6-C-205</t>
        </is>
      </c>
      <c r="B25" s="6" t="inlineStr">
        <is>
          <t>source_claim</t>
        </is>
      </c>
      <c r="C25" s="6" t="inlineStr">
        <is>
          <t>SOURCE_CLAIM</t>
        </is>
      </c>
      <c r="D25" s="6" t="inlineStr">
        <is>
          <t>PUBLIC</t>
        </is>
      </c>
      <c r="E25" s="6" t="inlineStr">
        <is>
          <t>JH corpus (biological lane)</t>
        </is>
      </c>
      <c r="F25" s="6" t="inlineStr">
        <is>
          <t>chakras</t>
        </is>
      </c>
      <c r="G25" s="6" t="inlineStr">
        <is>
          <t>LORE</t>
        </is>
      </c>
      <c r="H25" s="6" t="inlineStr">
        <is>
          <t>not translated; R6 does not test this claim</t>
        </is>
      </c>
      <c r="I25" s="6" t="inlineStr">
        <is>
          <t>REFUSED_NOT_TESTED</t>
        </is>
      </c>
      <c r="J25" s="6" t="inlineStr">
        <is>
          <t>No result. Registering the refusal keeps the claim visible instead of silently absent.</t>
        </is>
      </c>
      <c r="K25" s="6" t="inlineStr"/>
      <c r="L25" s="6" t="inlineStr">
        <is>
          <t>independent medical/ethics programme; institutional oversight; preregistration</t>
        </is>
      </c>
      <c r="M25" s="6" t="inlineStr"/>
    </row>
    <row r="26">
      <c r="A26" s="6" t="inlineStr">
        <is>
          <t>R6-C-206</t>
        </is>
      </c>
      <c r="B26" s="6" t="inlineStr">
        <is>
          <t>source_claim</t>
        </is>
      </c>
      <c r="C26" s="6" t="inlineStr">
        <is>
          <t>SOURCE_CLAIM</t>
        </is>
      </c>
      <c r="D26" s="6" t="inlineStr">
        <is>
          <t>PUBLIC</t>
        </is>
      </c>
      <c r="E26" s="6" t="inlineStr">
        <is>
          <t>JH corpus (biological lane)</t>
        </is>
      </c>
      <c r="F26" s="6" t="inlineStr">
        <is>
          <t>gamma brainwaves</t>
        </is>
      </c>
      <c r="G26" s="6" t="inlineStr">
        <is>
          <t>LORE</t>
        </is>
      </c>
      <c r="H26" s="6" t="inlineStr">
        <is>
          <t>not translated; R6 does not test this claim</t>
        </is>
      </c>
      <c r="I26" s="6" t="inlineStr">
        <is>
          <t>REFUSED_NOT_TESTED</t>
        </is>
      </c>
      <c r="J26" s="6" t="inlineStr">
        <is>
          <t>No result. Registering the refusal keeps the claim visible instead of silently absent.</t>
        </is>
      </c>
      <c r="K26" s="6" t="inlineStr"/>
      <c r="L26" s="6" t="inlineStr">
        <is>
          <t>independent medical/ethics programme; institutional oversight; preregistration</t>
        </is>
      </c>
      <c r="M26" s="6" t="inlineStr"/>
    </row>
    <row r="27">
      <c r="A27" s="6" t="inlineStr">
        <is>
          <t>R6-C-207</t>
        </is>
      </c>
      <c r="B27" s="6" t="inlineStr">
        <is>
          <t>source_claim</t>
        </is>
      </c>
      <c r="C27" s="6" t="inlineStr">
        <is>
          <t>SOURCE_CLAIM</t>
        </is>
      </c>
      <c r="D27" s="6" t="inlineStr">
        <is>
          <t>PUBLIC</t>
        </is>
      </c>
      <c r="E27" s="6" t="inlineStr">
        <is>
          <t>JH corpus (biological lane)</t>
        </is>
      </c>
      <c r="F27" s="6" t="inlineStr">
        <is>
          <t>bodily phryll harvesting</t>
        </is>
      </c>
      <c r="G27" s="6" t="inlineStr">
        <is>
          <t>LORE</t>
        </is>
      </c>
      <c r="H27" s="6" t="inlineStr">
        <is>
          <t>not translated; R6 does not test this claim</t>
        </is>
      </c>
      <c r="I27" s="6" t="inlineStr">
        <is>
          <t>REFUSED_NOT_TESTED</t>
        </is>
      </c>
      <c r="J27" s="6" t="inlineStr">
        <is>
          <t>No result. Registering the refusal keeps the claim visible instead of silently absent.</t>
        </is>
      </c>
      <c r="K27" s="6" t="inlineStr"/>
      <c r="L27" s="6" t="inlineStr">
        <is>
          <t>independent medical/ethics programme; institutional oversight; preregistration</t>
        </is>
      </c>
      <c r="M27" s="6" t="inlineStr"/>
    </row>
    <row r="28">
      <c r="A28" s="6" t="inlineStr">
        <is>
          <t>R6-C-208</t>
        </is>
      </c>
      <c r="B28" s="6" t="inlineStr">
        <is>
          <t>source_claim</t>
        </is>
      </c>
      <c r="C28" s="6" t="inlineStr">
        <is>
          <t>SOURCE_CLAIM</t>
        </is>
      </c>
      <c r="D28" s="6" t="inlineStr">
        <is>
          <t>PUBLIC</t>
        </is>
      </c>
      <c r="E28" s="6" t="inlineStr">
        <is>
          <t>JH corpus (biological lane)</t>
        </is>
      </c>
      <c r="F28" s="6" t="inlineStr">
        <is>
          <t>water programming</t>
        </is>
      </c>
      <c r="G28" s="6" t="inlineStr">
        <is>
          <t>LORE</t>
        </is>
      </c>
      <c r="H28" s="6" t="inlineStr">
        <is>
          <t>not translated; R6 does not test this claim</t>
        </is>
      </c>
      <c r="I28" s="6" t="inlineStr">
        <is>
          <t>REFUSED_NOT_TESTED</t>
        </is>
      </c>
      <c r="J28" s="6" t="inlineStr">
        <is>
          <t>No result. Registering the refusal keeps the claim visible instead of silently absent.</t>
        </is>
      </c>
      <c r="K28" s="6" t="inlineStr"/>
      <c r="L28" s="6" t="inlineStr">
        <is>
          <t>independent medical/ethics programme; institutional oversight; preregistration</t>
        </is>
      </c>
      <c r="M28" s="6" t="inlineStr"/>
    </row>
    <row r="29">
      <c r="A29" s="6" t="inlineStr">
        <is>
          <t>R6-C-209</t>
        </is>
      </c>
      <c r="B29" s="6" t="inlineStr">
        <is>
          <t>source_claim</t>
        </is>
      </c>
      <c r="C29" s="6" t="inlineStr">
        <is>
          <t>SOURCE_CLAIM</t>
        </is>
      </c>
      <c r="D29" s="6" t="inlineStr">
        <is>
          <t>PUBLIC</t>
        </is>
      </c>
      <c r="E29" s="6" t="inlineStr">
        <is>
          <t>JH corpus (biological lane)</t>
        </is>
      </c>
      <c r="F29" s="6" t="inlineStr">
        <is>
          <t>disease treatment</t>
        </is>
      </c>
      <c r="G29" s="6" t="inlineStr">
        <is>
          <t>LORE</t>
        </is>
      </c>
      <c r="H29" s="6" t="inlineStr">
        <is>
          <t>not translated; R6 does not test this claim</t>
        </is>
      </c>
      <c r="I29" s="6" t="inlineStr">
        <is>
          <t>REFUSED_NOT_TESTED</t>
        </is>
      </c>
      <c r="J29" s="6" t="inlineStr">
        <is>
          <t>No result. Registering the refusal keeps the claim visible instead of silently absent.</t>
        </is>
      </c>
      <c r="K29" s="6" t="inlineStr"/>
      <c r="L29" s="6" t="inlineStr">
        <is>
          <t>independent medical/ethics programme; institutional oversight; preregistration</t>
        </is>
      </c>
      <c r="M29" s="6" t="inlineStr"/>
    </row>
  </sheetData>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AA4"/>
  <sheetViews>
    <sheetView workbookViewId="0">
      <pane ySplit="1" topLeftCell="A2" activePane="bottomLeft" state="frozen"/>
      <selection pane="bottomLeft" activeCell="A1" sqref="A1"/>
    </sheetView>
  </sheetViews>
  <sheetFormatPr baseColWidth="8" defaultRowHeight="15"/>
  <cols>
    <col width="36" customWidth="1" min="1" max="1"/>
    <col width="21" customWidth="1" min="2" max="2"/>
    <col width="20" customWidth="1" min="3" max="3"/>
    <col width="15" customWidth="1" min="4" max="4"/>
    <col width="36" customWidth="1" min="5" max="5"/>
    <col width="23" customWidth="1" min="6" max="6"/>
    <col width="23" customWidth="1" min="7" max="7"/>
    <col width="23" customWidth="1" min="8" max="8"/>
    <col width="25" customWidth="1" min="9" max="9"/>
    <col width="14" customWidth="1" min="10" max="10"/>
    <col width="60" customWidth="1" min="11" max="11"/>
    <col width="10" customWidth="1" min="12" max="12"/>
    <col width="30" customWidth="1" min="13" max="13"/>
    <col width="20" customWidth="1" min="14" max="14"/>
    <col width="20" customWidth="1" min="15" max="15"/>
    <col width="25" customWidth="1" min="16" max="16"/>
    <col width="60" customWidth="1" min="17" max="17"/>
    <col width="18" customWidth="1" min="18" max="18"/>
    <col width="16" customWidth="1" min="19" max="19"/>
    <col width="23" customWidth="1" min="20" max="20"/>
    <col width="20" customWidth="1" min="21" max="21"/>
    <col width="12" customWidth="1" min="22" max="22"/>
    <col width="23" customWidth="1" min="23" max="23"/>
    <col width="20" customWidth="1" min="24" max="24"/>
    <col width="13" customWidth="1" min="25" max="25"/>
    <col width="60" customWidth="1" min="26" max="26"/>
    <col width="60" customWidth="1" min="27" max="27"/>
  </cols>
  <sheetData>
    <row r="1">
      <c r="A1" s="27" t="inlineStr">
        <is>
          <t>id</t>
        </is>
      </c>
      <c r="B1" s="27" t="inlineStr">
        <is>
          <t>kind</t>
        </is>
      </c>
      <c r="C1" s="27" t="inlineStr">
        <is>
          <t>evidence_class</t>
        </is>
      </c>
      <c r="D1" s="27" t="inlineStr">
        <is>
          <t>privacy_class</t>
        </is>
      </c>
      <c r="E1" s="27" t="inlineStr">
        <is>
          <t>provenance</t>
        </is>
      </c>
      <c r="F1" s="27" t="inlineStr">
        <is>
          <t>numeric_bz_t</t>
        </is>
      </c>
      <c r="G1" s="27" t="inlineStr">
        <is>
          <t>analytic_finite_bz_t</t>
        </is>
      </c>
      <c r="H1" s="27" t="inlineStr">
        <is>
          <t>relative_error_finite</t>
        </is>
      </c>
      <c r="I1" s="27" t="inlineStr">
        <is>
          <t>relative_error_infinite</t>
        </is>
      </c>
      <c r="J1" s="27" t="inlineStr">
        <is>
          <t>aspect_ratio</t>
        </is>
      </c>
      <c r="K1" s="27" t="inlineStr">
        <is>
          <t>note</t>
        </is>
      </c>
      <c r="L1" s="27" t="inlineStr">
        <is>
          <t>claim</t>
        </is>
      </c>
      <c r="M1" s="27" t="inlineStr">
        <is>
          <t>purely_differential_fraction</t>
        </is>
      </c>
      <c r="N1" s="27" t="inlineStr">
        <is>
          <t>antiphase_fraction</t>
        </is>
      </c>
      <c r="O1" s="27" t="inlineStr">
        <is>
          <t>mean_common_mode_a</t>
        </is>
      </c>
      <c r="P1" s="27" t="inlineStr">
        <is>
          <t>mean_abs_differential_a</t>
        </is>
      </c>
      <c r="Q1" s="27" t="inlineStr">
        <is>
          <t>result</t>
        </is>
      </c>
      <c r="R1" s="27" t="inlineStr">
        <is>
          <t>frequencies_hz</t>
        </is>
      </c>
      <c r="S1" s="27" t="inlineStr">
        <is>
          <t>fundamental_hz</t>
        </is>
      </c>
      <c r="T1" s="27" t="inlineStr">
        <is>
          <t>all_below_fundamental</t>
        </is>
      </c>
      <c r="U1" s="27" t="inlineStr">
        <is>
          <t>statistic</t>
        </is>
      </c>
      <c r="V1" s="27" t="inlineStr">
        <is>
          <t>null_draws</t>
        </is>
      </c>
      <c r="W1" s="27" t="inlineStr">
        <is>
          <t>null_at_least_as_good</t>
        </is>
      </c>
      <c r="X1" s="27" t="inlineStr">
        <is>
          <t>p_value</t>
        </is>
      </c>
      <c r="Y1" s="27" t="inlineStr">
        <is>
          <t>significant</t>
        </is>
      </c>
      <c r="Z1" s="27" t="inlineStr">
        <is>
          <t>verdict</t>
        </is>
      </c>
      <c r="AA1" s="27" t="inlineStr">
        <is>
          <t>ceiling</t>
        </is>
      </c>
    </row>
    <row r="2">
      <c r="A2" s="7" t="inlineStr">
        <is>
          <t>R6-COIL-SOLENOID-VALIDATION</t>
        </is>
      </c>
      <c r="B2" s="7" t="inlineStr">
        <is>
          <t>solver_validation</t>
        </is>
      </c>
      <c r="C2" s="7" t="inlineStr">
        <is>
          <t>DERIVED_ARITHMETIC</t>
        </is>
      </c>
      <c r="D2" s="7" t="inlineStr">
        <is>
          <t>PUBLIC</t>
        </is>
      </c>
      <c r="E2" s="7" t="inlineStr">
        <is>
          <t>r6.helix.validate_against_solenoid</t>
        </is>
      </c>
      <c r="F2" s="7" t="n">
        <v>0.0006282317246217344</v>
      </c>
      <c r="G2" s="7" t="n">
        <v>0.0006282312824316645</v>
      </c>
      <c r="H2" s="7" t="n">
        <v>7.038650928396788e-07</v>
      </c>
      <c r="I2" s="7" t="n">
        <v>0.000138156193045954</v>
      </c>
      <c r="J2" s="7" t="n">
        <v>120</v>
      </c>
      <c r="K2" s="7" t="inlineStr">
        <is>
          <t>Biot-Savart solver validated against the finite solenoid analytic limit; this validates the solver, not any claim</t>
        </is>
      </c>
      <c r="L2" s="7" t="n"/>
      <c r="M2" s="7" t="n"/>
      <c r="N2" s="7" t="n"/>
      <c r="O2" s="7" t="n"/>
      <c r="P2" s="7" t="n"/>
      <c r="Q2" s="7" t="n"/>
      <c r="R2" s="7" t="n"/>
      <c r="S2" s="7" t="n"/>
      <c r="T2" s="7" t="n"/>
      <c r="U2" s="7" t="n"/>
      <c r="V2" s="7" t="n"/>
      <c r="W2" s="7" t="n"/>
      <c r="X2" s="7" t="n"/>
      <c r="Y2" s="7" t="n"/>
      <c r="Z2" s="7" t="n"/>
      <c r="AA2" s="7" t="n"/>
    </row>
    <row r="3">
      <c r="A3" s="7" t="inlineStr">
        <is>
          <t>R6-DRIVE-ALTERNATING-DECOMPOSITION</t>
        </is>
      </c>
      <c r="B3" s="7" t="inlineStr">
        <is>
          <t>drive_decomposition</t>
        </is>
      </c>
      <c r="C3" s="7" t="inlineStr">
        <is>
          <t>DERIVED_ARITHMETIC</t>
        </is>
      </c>
      <c r="D3" s="7" t="inlineStr">
        <is>
          <t>PUBLIC</t>
        </is>
      </c>
      <c r="E3" s="7" t="inlineStr">
        <is>
          <t>r6.helix.decompose_pulse_trains</t>
        </is>
      </c>
      <c r="F3" s="7" t="n"/>
      <c r="G3" s="7" t="n"/>
      <c r="H3" s="7" t="n"/>
      <c r="I3" s="7" t="n"/>
      <c r="J3" s="7" t="n"/>
      <c r="K3" s="7" t="inlineStr">
        <is>
          <t>unipolar 0/1 alternation carries an equal common-mode component and is not purely differential; only the bipolar mapping is</t>
        </is>
      </c>
      <c r="L3" s="7" t="inlineStr">
        <is>
          <t>R6-C-002</t>
        </is>
      </c>
      <c r="M3" s="7" t="n">
        <v>0</v>
      </c>
      <c r="N3" s="7" t="n">
        <v>1</v>
      </c>
      <c r="O3" s="7" t="n">
        <v>0.5</v>
      </c>
      <c r="P3" s="7" t="n">
        <v>0.5</v>
      </c>
      <c r="Q3" s="7" t="inlineStr">
        <is>
          <t>the source's unipolar alternating drive is NOT purely differential: it carries an equal common-mode component and produces a net axial field at half amplitude</t>
        </is>
      </c>
      <c r="R3" s="7" t="n"/>
      <c r="S3" s="7" t="n"/>
      <c r="T3" s="7" t="n"/>
      <c r="U3" s="7" t="n"/>
      <c r="V3" s="7" t="n"/>
      <c r="W3" s="7" t="n"/>
      <c r="X3" s="7" t="n"/>
      <c r="Y3" s="7" t="n"/>
      <c r="Z3" s="7" t="n"/>
      <c r="AA3" s="7" t="n"/>
    </row>
    <row r="4">
      <c r="A4" s="7" t="inlineStr">
        <is>
          <t>R6-SOURCE-FREQUENCY-AUDIT</t>
        </is>
      </c>
      <c r="B4" s="7" t="inlineStr">
        <is>
          <t>frequency_null</t>
        </is>
      </c>
      <c r="C4" s="7" t="inlineStr">
        <is>
          <t>DERIVED_ARITHMETIC</t>
        </is>
      </c>
      <c r="D4" s="7" t="inlineStr">
        <is>
          <t>PUBLIC</t>
        </is>
      </c>
      <c r="E4" s="7" t="inlineStr">
        <is>
          <t>r6.pulse.source_frequency_audit</t>
        </is>
      </c>
      <c r="F4" s="7" t="n"/>
      <c r="G4" s="7" t="n"/>
      <c r="H4" s="7" t="n"/>
      <c r="I4" s="7" t="n"/>
      <c r="J4" s="7" t="n"/>
      <c r="K4" s="7" t="n"/>
      <c r="L4" s="7" t="inlineStr">
        <is>
          <t>R6-C-006</t>
        </is>
      </c>
      <c r="M4" s="7" t="n"/>
      <c r="N4" s="7" t="n"/>
      <c r="O4" s="7" t="n"/>
      <c r="P4" s="7" t="n"/>
      <c r="Q4" s="7" t="n"/>
      <c r="R4" s="7" t="inlineStr">
        <is>
          <t>(1496, 644, 587)</t>
        </is>
      </c>
      <c r="S4" s="7" t="n">
        <v>28600</v>
      </c>
      <c r="T4" s="7" t="b">
        <v>1</v>
      </c>
      <c r="U4" s="7" t="n">
        <v>0.9682167832167833</v>
      </c>
      <c r="V4" s="7" t="n">
        <v>20000</v>
      </c>
      <c r="W4" s="7" t="n">
        <v>13241</v>
      </c>
      <c r="X4" s="7" t="n">
        <v>0.6620668966551673</v>
      </c>
      <c r="Y4" s="7" t="b">
        <v>0</v>
      </c>
      <c r="Z4" s="7" t="inlineStr">
        <is>
          <t>NOT SIGNIFICANT: p=0.66207 &gt;= alpha=0.05. Random integer-Hz triples drawn from 100-2000 Hz fit this specimen's computed modal spectrum at least as well as the source triple 13241 times in 20000. The three source frequencies carry no demonstrated relationship to the modeled modes.</t>
        </is>
      </c>
      <c r="AA4" s="7" t="inlineStr">
        <is>
          <t>Three frequencies to test against a MODELED spectrum. Nothing here is a measurement of any specimen, and a significant p against a model spectrum would still require a bench modal analysis before it meant anything.</t>
        </is>
      </c>
    </row>
  </sheetData>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V5"/>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20" customWidth="1" min="3" max="3"/>
    <col width="15" customWidth="1" min="4" max="4"/>
    <col width="43" customWidth="1" min="5" max="5"/>
    <col width="11" customWidth="1" min="6" max="6"/>
    <col width="11" customWidth="1" min="7" max="7"/>
    <col width="24" customWidth="1" min="8" max="8"/>
    <col width="24" customWidth="1" min="9" max="9"/>
    <col width="31" customWidth="1" min="10" max="10"/>
    <col width="31" customWidth="1" min="11" max="11"/>
    <col width="12" customWidth="1" min="12" max="12"/>
    <col width="60" customWidth="1" min="13" max="13"/>
    <col width="38" customWidth="1" min="14" max="14"/>
    <col width="10" customWidth="1" min="15" max="15"/>
    <col width="23" customWidth="1" min="16" max="16"/>
    <col width="60" customWidth="1" min="17" max="17"/>
    <col width="22" customWidth="1" min="18" max="18"/>
    <col width="17" customWidth="1" min="19" max="19"/>
    <col width="26" customWidth="1" min="20" max="20"/>
    <col width="20" customWidth="1" min="21" max="21"/>
    <col width="60" customWidth="1" min="22" max="22"/>
  </cols>
  <sheetData>
    <row r="1">
      <c r="A1" s="27" t="inlineStr">
        <is>
          <t>id</t>
        </is>
      </c>
      <c r="B1" s="27" t="inlineStr">
        <is>
          <t>kind</t>
        </is>
      </c>
      <c r="C1" s="27" t="inlineStr">
        <is>
          <t>evidence_class</t>
        </is>
      </c>
      <c r="D1" s="27" t="inlineStr">
        <is>
          <t>privacy_class</t>
        </is>
      </c>
      <c r="E1" s="27" t="inlineStr">
        <is>
          <t>provenance</t>
        </is>
      </c>
      <c r="F1" s="27" t="inlineStr">
        <is>
          <t>witness_a</t>
        </is>
      </c>
      <c r="G1" s="27" t="inlineStr">
        <is>
          <t>witness_b</t>
        </is>
      </c>
      <c r="H1" s="27" t="inlineStr">
        <is>
          <t>predicted_frac</t>
        </is>
      </c>
      <c r="I1" s="27" t="inlineStr">
        <is>
          <t>frac_uncertainty</t>
        </is>
      </c>
      <c r="J1" s="27" t="inlineStr">
        <is>
          <t>status</t>
        </is>
      </c>
      <c r="K1" s="27" t="inlineStr">
        <is>
          <t>witness_class</t>
        </is>
      </c>
      <c r="L1" s="27" t="inlineStr">
        <is>
          <t>consistent</t>
        </is>
      </c>
      <c r="M1" s="27" t="inlineStr">
        <is>
          <t>note</t>
        </is>
      </c>
      <c r="N1" s="27" t="inlineStr">
        <is>
          <t>operation</t>
        </is>
      </c>
      <c r="O1" s="27" t="inlineStr">
        <is>
          <t>result</t>
        </is>
      </c>
      <c r="P1" s="27" t="inlineStr">
        <is>
          <t>ordinary_decay_causes</t>
        </is>
      </c>
      <c r="Q1" s="27" t="inlineStr">
        <is>
          <t>reason</t>
        </is>
      </c>
      <c r="R1" s="27" t="inlineStr">
        <is>
          <t>collapse</t>
        </is>
      </c>
      <c r="S1" s="27" t="inlineStr">
        <is>
          <t>payload_id</t>
        </is>
      </c>
      <c r="T1" s="27" t="inlineStr">
        <is>
          <t>root_certificate_present</t>
        </is>
      </c>
      <c r="U1" s="27" t="inlineStr">
        <is>
          <t>posterior_returned</t>
        </is>
      </c>
      <c r="V1" s="27" t="inlineStr">
        <is>
          <t>refusal_reason</t>
        </is>
      </c>
    </row>
    <row r="2">
      <c r="A2" s="7" t="inlineStr">
        <is>
          <t>R6-WITNESS-CAESIUM-1M</t>
        </is>
      </c>
      <c r="B2" s="7" t="inlineStr">
        <is>
          <t>clock_comparison</t>
        </is>
      </c>
      <c r="C2" s="7" t="inlineStr">
        <is>
          <t>DERIVED_ARITHMETIC</t>
        </is>
      </c>
      <c r="D2" s="7" t="inlineStr">
        <is>
          <t>PUBLIC</t>
        </is>
      </c>
      <c r="E2" s="7" t="inlineStr">
        <is>
          <t>r6.witness.compare_witnesses</t>
        </is>
      </c>
      <c r="F2" s="7" t="inlineStr">
        <is>
          <t>CS-A</t>
        </is>
      </c>
      <c r="G2" s="7" t="inlineStr">
        <is>
          <t>CS-B</t>
        </is>
      </c>
      <c r="H2" s="7" t="n">
        <v>1.091136967219822e-16</v>
      </c>
      <c r="I2" s="7" t="n">
        <v>4.812291361518767e-16</v>
      </c>
      <c r="J2" s="7" t="inlineStr">
        <is>
          <t>PREDICTION_BELOW_RESOLUTION</t>
        </is>
      </c>
      <c r="K2" s="7" t="inlineStr">
        <is>
          <t>CLOCK_COMPARISON</t>
        </is>
      </c>
      <c r="L2" s="7" t="b">
        <v>0</v>
      </c>
      <c r="M2" s="7" t="inlineStr">
        <is>
          <t>a caesium beam averaged for a day cannot resolve the 1.09e-16 shift from a 1 m height difference</t>
        </is>
      </c>
      <c r="N2" s="7" t="n"/>
      <c r="O2" s="7" t="n"/>
      <c r="P2" s="7" t="n"/>
      <c r="Q2" s="7" t="n"/>
      <c r="R2" s="7" t="n"/>
      <c r="S2" s="7" t="n"/>
      <c r="T2" s="7" t="n"/>
      <c r="U2" s="7" t="n"/>
      <c r="V2" s="7" t="n"/>
    </row>
    <row r="3">
      <c r="A3" s="7" t="inlineStr">
        <is>
          <t>R6-WITNESS-OPTICAL-1M</t>
        </is>
      </c>
      <c r="B3" s="7" t="inlineStr">
        <is>
          <t>clock_comparison</t>
        </is>
      </c>
      <c r="C3" s="7" t="inlineStr">
        <is>
          <t>DERIVED_ARITHMETIC</t>
        </is>
      </c>
      <c r="D3" s="7" t="inlineStr">
        <is>
          <t>PUBLIC</t>
        </is>
      </c>
      <c r="E3" s="7" t="inlineStr">
        <is>
          <t>r6.witness.compare_witnesses</t>
        </is>
      </c>
      <c r="F3" s="7" t="inlineStr">
        <is>
          <t>OPT-A</t>
        </is>
      </c>
      <c r="G3" s="7" t="inlineStr">
        <is>
          <t>OPT-B</t>
        </is>
      </c>
      <c r="H3" s="7" t="n">
        <v>1.091136967219822e-16</v>
      </c>
      <c r="I3" s="7" t="n">
        <v>1.417744687875783e-18</v>
      </c>
      <c r="J3" s="7" t="inlineStr">
        <is>
          <t>RELATIVISTIC_SHIFT_CONSISTENT</t>
        </is>
      </c>
      <c r="K3" s="7" t="inlineStr">
        <is>
          <t>RELATIVISTIC_SHIFT_CONSISTENT</t>
        </is>
      </c>
      <c r="L3" s="7" t="b">
        <v>1</v>
      </c>
      <c r="M3" s="7" t="inlineStr">
        <is>
          <t>an optical clock pair resolves it; the platform decides, not the architecture</t>
        </is>
      </c>
      <c r="N3" s="7" t="n"/>
      <c r="O3" s="7" t="n"/>
      <c r="P3" s="7" t="n"/>
      <c r="Q3" s="7" t="n"/>
      <c r="R3" s="7" t="n"/>
      <c r="S3" s="7" t="n"/>
      <c r="T3" s="7" t="n"/>
      <c r="U3" s="7" t="n"/>
      <c r="V3" s="7" t="n"/>
    </row>
    <row r="4">
      <c r="A4" s="7" t="inlineStr">
        <is>
          <t>R6-WITNESS-DECAY-FIREWALL</t>
        </is>
      </c>
      <c r="B4" s="7" t="inlineStr">
        <is>
          <t>refusal</t>
        </is>
      </c>
      <c r="C4" s="7" t="inlineStr">
        <is>
          <t>DERIVED_ARITHMETIC</t>
        </is>
      </c>
      <c r="D4" s="7" t="inlineStr">
        <is>
          <t>PUBLIC</t>
        </is>
      </c>
      <c r="E4" s="7" t="inlineStr">
        <is>
          <t>r6.witness.infer_proper_time_from_payload</t>
        </is>
      </c>
      <c r="F4" s="7" t="n"/>
      <c r="G4" s="7" t="n"/>
      <c r="H4" s="7" t="n"/>
      <c r="I4" s="7" t="n"/>
      <c r="J4" s="7" t="n"/>
      <c r="K4" s="7" t="n"/>
      <c r="L4" s="7" t="n"/>
      <c r="M4" s="7" t="n"/>
      <c r="N4" s="7" t="inlineStr">
        <is>
          <t>infer proper time from payload decay</t>
        </is>
      </c>
      <c r="O4" s="7" t="inlineStr">
        <is>
          <t>REFUSED</t>
        </is>
      </c>
      <c r="P4" s="7" t="n">
        <v>12</v>
      </c>
      <c r="Q4" s="7" t="inlineStr">
        <is>
          <t>payload relaxation has twelve ordinary causes and a common environmental cause can move both channels together; characterizing all twelve still does not make a payload a clock</t>
        </is>
      </c>
      <c r="R4" s="7" t="inlineStr">
        <is>
          <t>DECAY_IS_PROPER_TIME</t>
        </is>
      </c>
      <c r="S4" s="7" t="n"/>
      <c r="T4" s="7" t="n"/>
      <c r="U4" s="7" t="n"/>
      <c r="V4" s="7" t="n"/>
    </row>
    <row r="5">
      <c r="A5" s="7" t="inlineStr">
        <is>
          <t>R6-WITNESS-ROOT-CERT-BOUND</t>
        </is>
      </c>
      <c r="B5" s="7" t="inlineStr">
        <is>
          <t>reconstruction</t>
        </is>
      </c>
      <c r="C5" s="7" t="inlineStr">
        <is>
          <t>DERIVED_ARITHMETIC</t>
        </is>
      </c>
      <c r="D5" s="7" t="inlineStr">
        <is>
          <t>PUBLIC</t>
        </is>
      </c>
      <c r="E5" s="7" t="inlineStr">
        <is>
          <t>r6.witness.reconstruct</t>
        </is>
      </c>
      <c r="F5" s="7" t="n"/>
      <c r="G5" s="7" t="n"/>
      <c r="H5" s="7" t="n"/>
      <c r="I5" s="7" t="n"/>
      <c r="J5" s="7" t="inlineStr">
        <is>
          <t>UNIDENTIFIABLE</t>
        </is>
      </c>
      <c r="K5" s="7" t="n"/>
      <c r="L5" s="7" t="n"/>
      <c r="M5" s="7" t="inlineStr">
        <is>
          <t>a root certificate attests provenance and carries no information about the physical state</t>
        </is>
      </c>
      <c r="N5" s="7" t="n"/>
      <c r="O5" s="7" t="n"/>
      <c r="P5" s="7" t="n"/>
      <c r="Q5" s="7" t="n"/>
      <c r="R5" s="7" t="n"/>
      <c r="S5" s="7" t="inlineStr">
        <is>
          <t>R6-PAYLOAD-DEMO</t>
        </is>
      </c>
      <c r="T5" s="7" t="b">
        <v>1</v>
      </c>
      <c r="U5" s="7" t="b">
        <v>0</v>
      </c>
      <c r="V5" s="7" t="inlineStr">
        <is>
          <t>payload has relaxed to within 0.00e+00 bits of its prior and no new observation was supplied. A root certificate is present but cannot restore information the channel destroyed (r6 FORBIDDEN_COLLAPSES: ROOT_CERTIFICATE_RESTORES_INFORMATION).</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Z12"/>
  <sheetViews>
    <sheetView workbookViewId="0">
      <pane ySplit="1" topLeftCell="A2" activePane="bottomLeft" state="frozen"/>
      <selection pane="bottomLeft" activeCell="A1" sqref="A1"/>
    </sheetView>
  </sheetViews>
  <sheetFormatPr baseColWidth="8" defaultRowHeight="15"/>
  <cols>
    <col width="29" customWidth="1" min="1" max="1"/>
    <col width="23" customWidth="1" min="2" max="2"/>
    <col width="20" customWidth="1" min="3" max="3"/>
    <col width="15" customWidth="1" min="4" max="4"/>
    <col width="37" customWidth="1" min="5" max="5"/>
    <col width="10" customWidth="1" min="6" max="6"/>
    <col width="18" customWidth="1" min="7" max="7"/>
    <col width="29" customWidth="1" min="8" max="8"/>
    <col width="34" customWidth="1" min="9" max="9"/>
    <col width="60" customWidth="1" min="10" max="10"/>
    <col width="60" customWidth="1" min="11" max="11"/>
    <col width="18" customWidth="1" min="12" max="12"/>
    <col width="23" customWidth="1" min="13" max="13"/>
    <col width="60" customWidth="1" min="14" max="14"/>
    <col width="21" customWidth="1" min="15" max="15"/>
    <col width="15" customWidth="1" min="16" max="16"/>
    <col width="14" customWidth="1" min="17" max="17"/>
    <col width="18" customWidth="1" min="18" max="18"/>
    <col width="60" customWidth="1" min="19" max="19"/>
    <col width="16" customWidth="1" min="20" max="20"/>
    <col width="14" customWidth="1" min="21" max="21"/>
    <col width="23" customWidth="1" min="22" max="22"/>
    <col width="60" customWidth="1" min="23" max="23"/>
    <col width="10" customWidth="1" min="24" max="24"/>
    <col width="60" customWidth="1" min="25" max="25"/>
    <col width="22" customWidth="1" min="26" max="26"/>
  </cols>
  <sheetData>
    <row r="1">
      <c r="A1" s="27" t="inlineStr">
        <is>
          <t>id</t>
        </is>
      </c>
      <c r="B1" s="27" t="inlineStr">
        <is>
          <t>kind</t>
        </is>
      </c>
      <c r="C1" s="27" t="inlineStr">
        <is>
          <t>evidence_class</t>
        </is>
      </c>
      <c r="D1" s="27" t="inlineStr">
        <is>
          <t>privacy_class</t>
        </is>
      </c>
      <c r="E1" s="27" t="inlineStr">
        <is>
          <t>provenance</t>
        </is>
      </c>
      <c r="F1" s="27" t="inlineStr">
        <is>
          <t>claim</t>
        </is>
      </c>
      <c r="G1" s="27" t="inlineStr">
        <is>
          <t>methods_examined</t>
        </is>
      </c>
      <c r="H1" s="27" t="inlineStr">
        <is>
          <t>methods_infrastructure_free</t>
        </is>
      </c>
      <c r="I1" s="27" t="inlineStr">
        <is>
          <t>status</t>
        </is>
      </c>
      <c r="J1" s="27" t="inlineStr">
        <is>
          <t>verdict</t>
        </is>
      </c>
      <c r="K1" s="27" t="inlineStr">
        <is>
          <t>claim_ceiling</t>
        </is>
      </c>
      <c r="L1" s="27" t="inlineStr">
        <is>
          <t>method</t>
        </is>
      </c>
      <c r="M1" s="27" t="inlineStr">
        <is>
          <t>external_dependencies</t>
        </is>
      </c>
      <c r="N1" s="27" t="inlineStr">
        <is>
          <t>dependencies</t>
        </is>
      </c>
      <c r="O1" s="27" t="inlineStr">
        <is>
          <t>infrastructure_free</t>
        </is>
      </c>
      <c r="P1" s="27" t="inlineStr">
        <is>
          <t>jacobian_rank</t>
        </is>
      </c>
      <c r="Q1" s="27" t="inlineStr">
        <is>
          <t>position_dof</t>
        </is>
      </c>
      <c r="R1" s="27" t="inlineStr">
        <is>
          <t>unobservable_dof</t>
        </is>
      </c>
      <c r="S1" s="27" t="inlineStr">
        <is>
          <t>note</t>
        </is>
      </c>
      <c r="T1" s="27" t="inlineStr">
        <is>
          <t>au_m</t>
        </is>
      </c>
      <c r="U1" s="27" t="inlineStr">
        <is>
          <t>lab_extent_m</t>
        </is>
      </c>
      <c r="V1" s="27" t="inlineStr">
        <is>
          <t>ratio</t>
        </is>
      </c>
      <c r="W1" s="27" t="inlineStr">
        <is>
          <t>operation</t>
        </is>
      </c>
      <c r="X1" s="27" t="inlineStr">
        <is>
          <t>result</t>
        </is>
      </c>
      <c r="Y1" s="27" t="inlineStr">
        <is>
          <t>reason</t>
        </is>
      </c>
      <c r="Z1" s="27" t="inlineStr">
        <is>
          <t>collapse</t>
        </is>
      </c>
    </row>
    <row r="2">
      <c r="A2" s="7" t="inlineStr">
        <is>
          <t>R6-NAV-SOVEREIGNTY-AUDIT</t>
        </is>
      </c>
      <c r="B2" s="7" t="inlineStr">
        <is>
          <t>navigation_audit</t>
        </is>
      </c>
      <c r="C2" s="7" t="inlineStr">
        <is>
          <t>DERIVED_ARITHMETIC</t>
        </is>
      </c>
      <c r="D2" s="7" t="inlineStr">
        <is>
          <t>PUBLIC</t>
        </is>
      </c>
      <c r="E2" s="7" t="inlineStr">
        <is>
          <t>r6.navigation.sovereignty_audit</t>
        </is>
      </c>
      <c r="F2" s="7" t="inlineStr">
        <is>
          <t>R6-C-107</t>
        </is>
      </c>
      <c r="G2" s="7" t="n">
        <v>7</v>
      </c>
      <c r="H2" s="7" t="n">
        <v>0</v>
      </c>
      <c r="I2" s="7" t="inlineStr">
        <is>
          <t>SOVEREIGN_NAVIGATION_UNSUPPORTED</t>
        </is>
      </c>
      <c r="J2" s="7" t="inlineStr">
        <is>
          <t>No examined method is infrastructure-free. Every signal-denied technique substitutes a different external dependency -- a catalogue, a map, a model, a second clock, or an initial condition -- for the radio signal it avoids. 'Sovereign navigation' is therefore unsupported as an absolute claim (claim R6-C-107).</t>
        </is>
      </c>
      <c r="K2" s="7" t="inlineStr">
        <is>
          <t>documented signal-denied navigation with its actual dependencies stated and its performance measured</t>
        </is>
      </c>
      <c r="L2" s="7" t="n"/>
      <c r="M2" s="7" t="n"/>
      <c r="N2" s="7" t="n"/>
      <c r="O2" s="7" t="n"/>
      <c r="P2" s="7" t="n"/>
      <c r="Q2" s="7" t="n"/>
      <c r="R2" s="7" t="n"/>
      <c r="S2" s="7" t="n"/>
      <c r="T2" s="7" t="n"/>
      <c r="U2" s="7" t="n"/>
      <c r="V2" s="7" t="n"/>
      <c r="W2" s="7" t="n"/>
      <c r="X2" s="7" t="n"/>
      <c r="Y2" s="7" t="n"/>
      <c r="Z2" s="7" t="n"/>
    </row>
    <row r="3">
      <c r="A3" s="7" t="inlineStr">
        <is>
          <t>R6-NAV-DEP-INERTIAL</t>
        </is>
      </c>
      <c r="B3" s="7" t="inlineStr">
        <is>
          <t>navigation_dependency</t>
        </is>
      </c>
      <c r="C3" s="7" t="inlineStr">
        <is>
          <t>DERIVED_ARITHMETIC</t>
        </is>
      </c>
      <c r="D3" s="7" t="inlineStr">
        <is>
          <t>PUBLIC</t>
        </is>
      </c>
      <c r="E3" s="7" t="inlineStr">
        <is>
          <t>r6.navigation.DEPENDENCIES</t>
        </is>
      </c>
      <c r="F3" s="7" t="n"/>
      <c r="G3" s="7" t="n"/>
      <c r="H3" s="7" t="n"/>
      <c r="I3" s="7" t="n"/>
      <c r="J3" s="7" t="n"/>
      <c r="K3" s="7" t="n"/>
      <c r="L3" s="7" t="inlineStr">
        <is>
          <t>INERTIAL</t>
        </is>
      </c>
      <c r="M3" s="7" t="n">
        <v>4</v>
      </c>
      <c r="N3" s="7" t="inlineStr">
        <is>
          <t>initial position and velocity; initial attitude; gravity model for specific-force compensation; periodic external fix to bound drift</t>
        </is>
      </c>
      <c r="O3" s="7" t="b">
        <v>0</v>
      </c>
      <c r="P3" s="7" t="n"/>
      <c r="Q3" s="7" t="n"/>
      <c r="R3" s="7" t="n"/>
      <c r="S3" s="7" t="n"/>
      <c r="T3" s="7" t="n"/>
      <c r="U3" s="7" t="n"/>
      <c r="V3" s="7" t="n"/>
      <c r="W3" s="7" t="n"/>
      <c r="X3" s="7" t="n"/>
      <c r="Y3" s="7" t="n"/>
      <c r="Z3" s="7" t="n"/>
    </row>
    <row r="4">
      <c r="A4" s="7" t="inlineStr">
        <is>
          <t>R6-NAV-DEP-CLOCK_GEODESY</t>
        </is>
      </c>
      <c r="B4" s="7" t="inlineStr">
        <is>
          <t>navigation_dependency</t>
        </is>
      </c>
      <c r="C4" s="7" t="inlineStr">
        <is>
          <t>DERIVED_ARITHMETIC</t>
        </is>
      </c>
      <c r="D4" s="7" t="inlineStr">
        <is>
          <t>PUBLIC</t>
        </is>
      </c>
      <c r="E4" s="7" t="inlineStr">
        <is>
          <t>r6.navigation.DEPENDENCIES</t>
        </is>
      </c>
      <c r="F4" s="7" t="n"/>
      <c r="G4" s="7" t="n"/>
      <c r="H4" s="7" t="n"/>
      <c r="I4" s="7" t="n"/>
      <c r="J4" s="7" t="n"/>
      <c r="K4" s="7" t="n"/>
      <c r="L4" s="7" t="inlineStr">
        <is>
          <t>CLOCK_GEODESY</t>
        </is>
      </c>
      <c r="M4" s="7" t="n">
        <v>4</v>
      </c>
      <c r="N4" s="7" t="inlineStr">
        <is>
          <t>a second clock to compare against; a phase-coherent transfer link; a geopotential model; traceable frequency standard</t>
        </is>
      </c>
      <c r="O4" s="7" t="b">
        <v>0</v>
      </c>
      <c r="P4" s="7" t="n"/>
      <c r="Q4" s="7" t="n"/>
      <c r="R4" s="7" t="n"/>
      <c r="S4" s="7" t="n"/>
      <c r="T4" s="7" t="n"/>
      <c r="U4" s="7" t="n"/>
      <c r="V4" s="7" t="n"/>
      <c r="W4" s="7" t="n"/>
      <c r="X4" s="7" t="n"/>
      <c r="Y4" s="7" t="n"/>
      <c r="Z4" s="7" t="n"/>
    </row>
    <row r="5">
      <c r="A5" s="7" t="inlineStr">
        <is>
          <t>R6-NAV-DEP-GRAVITY_GRADIENT</t>
        </is>
      </c>
      <c r="B5" s="7" t="inlineStr">
        <is>
          <t>navigation_dependency</t>
        </is>
      </c>
      <c r="C5" s="7" t="inlineStr">
        <is>
          <t>DERIVED_ARITHMETIC</t>
        </is>
      </c>
      <c r="D5" s="7" t="inlineStr">
        <is>
          <t>PUBLIC</t>
        </is>
      </c>
      <c r="E5" s="7" t="inlineStr">
        <is>
          <t>r6.navigation.DEPENDENCIES</t>
        </is>
      </c>
      <c r="F5" s="7" t="n"/>
      <c r="G5" s="7" t="n"/>
      <c r="H5" s="7" t="n"/>
      <c r="I5" s="7" t="n"/>
      <c r="J5" s="7" t="n"/>
      <c r="K5" s="7" t="n"/>
      <c r="L5" s="7" t="inlineStr">
        <is>
          <t>GRAVITY_GRADIENT</t>
        </is>
      </c>
      <c r="M5" s="7" t="n">
        <v>3</v>
      </c>
      <c r="N5" s="7" t="inlineStr">
        <is>
          <t>a gravity gradient map; survey data at map resolution; attitude reference</t>
        </is>
      </c>
      <c r="O5" s="7" t="b">
        <v>0</v>
      </c>
      <c r="P5" s="7" t="n"/>
      <c r="Q5" s="7" t="n"/>
      <c r="R5" s="7" t="n"/>
      <c r="S5" s="7" t="n"/>
      <c r="T5" s="7" t="n"/>
      <c r="U5" s="7" t="n"/>
      <c r="V5" s="7" t="n"/>
      <c r="W5" s="7" t="n"/>
      <c r="X5" s="7" t="n"/>
      <c r="Y5" s="7" t="n"/>
      <c r="Z5" s="7" t="n"/>
    </row>
    <row r="6">
      <c r="A6" s="7" t="inlineStr">
        <is>
          <t>R6-NAV-DEP-GEOMAGNETIC</t>
        </is>
      </c>
      <c r="B6" s="7" t="inlineStr">
        <is>
          <t>navigation_dependency</t>
        </is>
      </c>
      <c r="C6" s="7" t="inlineStr">
        <is>
          <t>DERIVED_ARITHMETIC</t>
        </is>
      </c>
      <c r="D6" s="7" t="inlineStr">
        <is>
          <t>PUBLIC</t>
        </is>
      </c>
      <c r="E6" s="7" t="inlineStr">
        <is>
          <t>r6.navigation.DEPENDENCIES</t>
        </is>
      </c>
      <c r="F6" s="7" t="n"/>
      <c r="G6" s="7" t="n"/>
      <c r="H6" s="7" t="n"/>
      <c r="I6" s="7" t="n"/>
      <c r="J6" s="7" t="n"/>
      <c r="K6" s="7" t="n"/>
      <c r="L6" s="7" t="inlineStr">
        <is>
          <t>GEOMAGNETIC</t>
        </is>
      </c>
      <c r="M6" s="7" t="n">
        <v>4</v>
      </c>
      <c r="N6" s="7" t="inlineStr">
        <is>
          <t>a field model such as IGRF or WMM; secular variation updates; crustal anomaly map; space-weather state</t>
        </is>
      </c>
      <c r="O6" s="7" t="b">
        <v>0</v>
      </c>
      <c r="P6" s="7" t="n"/>
      <c r="Q6" s="7" t="n"/>
      <c r="R6" s="7" t="n"/>
      <c r="S6" s="7" t="n"/>
      <c r="T6" s="7" t="n"/>
      <c r="U6" s="7" t="n"/>
      <c r="V6" s="7" t="n"/>
      <c r="W6" s="7" t="n"/>
      <c r="X6" s="7" t="n"/>
      <c r="Y6" s="7" t="n"/>
      <c r="Z6" s="7" t="n"/>
    </row>
    <row r="7">
      <c r="A7" s="7" t="inlineStr">
        <is>
          <t>R6-NAV-DEP-CELESTIAL</t>
        </is>
      </c>
      <c r="B7" s="7" t="inlineStr">
        <is>
          <t>navigation_dependency</t>
        </is>
      </c>
      <c r="C7" s="7" t="inlineStr">
        <is>
          <t>DERIVED_ARITHMETIC</t>
        </is>
      </c>
      <c r="D7" s="7" t="inlineStr">
        <is>
          <t>PUBLIC</t>
        </is>
      </c>
      <c r="E7" s="7" t="inlineStr">
        <is>
          <t>r6.navigation.DEPENDENCIES</t>
        </is>
      </c>
      <c r="F7" s="7" t="n"/>
      <c r="G7" s="7" t="n"/>
      <c r="H7" s="7" t="n"/>
      <c r="I7" s="7" t="n"/>
      <c r="J7" s="7" t="n"/>
      <c r="K7" s="7" t="n"/>
      <c r="L7" s="7" t="inlineStr">
        <is>
          <t>CELESTIAL</t>
        </is>
      </c>
      <c r="M7" s="7" t="n">
        <v>4</v>
      </c>
      <c r="N7" s="7" t="inlineStr">
        <is>
          <t>a star catalogue; planetary ephemerides; accurate time; clear line of sight</t>
        </is>
      </c>
      <c r="O7" s="7" t="b">
        <v>0</v>
      </c>
      <c r="P7" s="7" t="n"/>
      <c r="Q7" s="7" t="n"/>
      <c r="R7" s="7" t="n"/>
      <c r="S7" s="7" t="n"/>
      <c r="T7" s="7" t="n"/>
      <c r="U7" s="7" t="n"/>
      <c r="V7" s="7" t="n"/>
      <c r="W7" s="7" t="n"/>
      <c r="X7" s="7" t="n"/>
      <c r="Y7" s="7" t="n"/>
      <c r="Z7" s="7" t="n"/>
    </row>
    <row r="8">
      <c r="A8" s="7" t="inlineStr">
        <is>
          <t>R6-NAV-DEP-TERRAIN</t>
        </is>
      </c>
      <c r="B8" s="7" t="inlineStr">
        <is>
          <t>navigation_dependency</t>
        </is>
      </c>
      <c r="C8" s="7" t="inlineStr">
        <is>
          <t>DERIVED_ARITHMETIC</t>
        </is>
      </c>
      <c r="D8" s="7" t="inlineStr">
        <is>
          <t>PUBLIC</t>
        </is>
      </c>
      <c r="E8" s="7" t="inlineStr">
        <is>
          <t>r6.navigation.DEPENDENCIES</t>
        </is>
      </c>
      <c r="F8" s="7" t="n"/>
      <c r="G8" s="7" t="n"/>
      <c r="H8" s="7" t="n"/>
      <c r="I8" s="7" t="n"/>
      <c r="J8" s="7" t="n"/>
      <c r="K8" s="7" t="n"/>
      <c r="L8" s="7" t="inlineStr">
        <is>
          <t>TERRAIN</t>
        </is>
      </c>
      <c r="M8" s="7" t="n">
        <v>2</v>
      </c>
      <c r="N8" s="7" t="inlineStr">
        <is>
          <t>a terrain elevation map; an altimeter</t>
        </is>
      </c>
      <c r="O8" s="7" t="b">
        <v>0</v>
      </c>
      <c r="P8" s="7" t="n"/>
      <c r="Q8" s="7" t="n"/>
      <c r="R8" s="7" t="n"/>
      <c r="S8" s="7" t="n"/>
      <c r="T8" s="7" t="n"/>
      <c r="U8" s="7" t="n"/>
      <c r="V8" s="7" t="n"/>
      <c r="W8" s="7" t="n"/>
      <c r="X8" s="7" t="n"/>
      <c r="Y8" s="7" t="n"/>
      <c r="Z8" s="7" t="n"/>
    </row>
    <row r="9">
      <c r="A9" s="7" t="inlineStr">
        <is>
          <t>R6-NAV-DEP-OPTICAL_FLOW</t>
        </is>
      </c>
      <c r="B9" s="7" t="inlineStr">
        <is>
          <t>navigation_dependency</t>
        </is>
      </c>
      <c r="C9" s="7" t="inlineStr">
        <is>
          <t>DERIVED_ARITHMETIC</t>
        </is>
      </c>
      <c r="D9" s="7" t="inlineStr">
        <is>
          <t>PUBLIC</t>
        </is>
      </c>
      <c r="E9" s="7" t="inlineStr">
        <is>
          <t>r6.navigation.DEPENDENCIES</t>
        </is>
      </c>
      <c r="F9" s="7" t="n"/>
      <c r="G9" s="7" t="n"/>
      <c r="H9" s="7" t="n"/>
      <c r="I9" s="7" t="n"/>
      <c r="J9" s="7" t="n"/>
      <c r="K9" s="7" t="n"/>
      <c r="L9" s="7" t="inlineStr">
        <is>
          <t>OPTICAL_FLOW</t>
        </is>
      </c>
      <c r="M9" s="7" t="n">
        <v>2</v>
      </c>
      <c r="N9" s="7" t="inlineStr">
        <is>
          <t>a visual map or landmark database; scale from another sensor</t>
        </is>
      </c>
      <c r="O9" s="7" t="b">
        <v>0</v>
      </c>
      <c r="P9" s="7" t="n"/>
      <c r="Q9" s="7" t="n"/>
      <c r="R9" s="7" t="n"/>
      <c r="S9" s="7" t="n"/>
      <c r="T9" s="7" t="n"/>
      <c r="U9" s="7" t="n"/>
      <c r="V9" s="7" t="n"/>
      <c r="W9" s="7" t="n"/>
      <c r="X9" s="7" t="n"/>
      <c r="Y9" s="7" t="n"/>
      <c r="Z9" s="7" t="n"/>
    </row>
    <row r="10">
      <c r="A10" s="7" t="inlineStr">
        <is>
          <t>R6-NAV-CLOCK-OBSERVABILITY</t>
        </is>
      </c>
      <c r="B10" s="7" t="inlineStr">
        <is>
          <t>observability</t>
        </is>
      </c>
      <c r="C10" s="7" t="inlineStr">
        <is>
          <t>DERIVED_ARITHMETIC</t>
        </is>
      </c>
      <c r="D10" s="7" t="inlineStr">
        <is>
          <t>PUBLIC</t>
        </is>
      </c>
      <c r="E10" s="7" t="inlineStr">
        <is>
          <t>r6.navigation.analyze_observability</t>
        </is>
      </c>
      <c r="F10" s="7" t="n"/>
      <c r="G10" s="7" t="n"/>
      <c r="H10" s="7" t="n"/>
      <c r="I10" s="7" t="inlineStr">
        <is>
          <t>POSITION_UNOBSERVABLE</t>
        </is>
      </c>
      <c r="J10" s="7" t="n"/>
      <c r="K10" s="7" t="n"/>
      <c r="L10" s="7" t="inlineStr">
        <is>
          <t>CLOCK_GEODESY</t>
        </is>
      </c>
      <c r="M10" s="7" t="n"/>
      <c r="N10" s="7" t="n"/>
      <c r="O10" s="7" t="n"/>
      <c r="P10" s="7" t="n">
        <v>1</v>
      </c>
      <c r="Q10" s="7" t="n">
        <v>3</v>
      </c>
      <c r="R10" s="7" t="n">
        <v>2</v>
      </c>
      <c r="S10" s="7" t="inlineStr">
        <is>
          <t>a scalar clock rate constrains one degree of freedom and is constant over an equipotential surface; two of three remain unobservable</t>
        </is>
      </c>
      <c r="T10" s="7" t="n"/>
      <c r="U10" s="7" t="n"/>
      <c r="V10" s="7" t="n"/>
      <c r="W10" s="7" t="n"/>
      <c r="X10" s="7" t="n"/>
      <c r="Y10" s="7" t="n"/>
      <c r="Z10" s="7" t="n"/>
    </row>
    <row r="11">
      <c r="A11" s="7" t="inlineStr">
        <is>
          <t>R6-MAILBOX-LAB-SCALE</t>
        </is>
      </c>
      <c r="B11" s="7" t="inlineStr">
        <is>
          <t>scale_analogy</t>
        </is>
      </c>
      <c r="C11" s="7" t="inlineStr">
        <is>
          <t>DERIVED_ARITHMETIC</t>
        </is>
      </c>
      <c r="D11" s="7" t="inlineStr">
        <is>
          <t>PUBLIC</t>
        </is>
      </c>
      <c r="E11" s="7" t="inlineStr">
        <is>
          <t>r6.mailbox.laboratory_scale_model</t>
        </is>
      </c>
      <c r="F11" s="7" t="n"/>
      <c r="G11" s="7" t="n"/>
      <c r="H11" s="7" t="n"/>
      <c r="I11" s="7" t="inlineStr">
        <is>
          <t>ANALOGY_ONLY</t>
        </is>
      </c>
      <c r="J11" s="7" t="n"/>
      <c r="K11" s="7" t="n"/>
      <c r="L11" s="7" t="n"/>
      <c r="M11" s="7" t="n"/>
      <c r="N11" s="7" t="n"/>
      <c r="O11" s="7" t="n"/>
      <c r="P11" s="7" t="n"/>
      <c r="Q11" s="7" t="n"/>
      <c r="R11" s="7" t="n"/>
      <c r="S11" s="7" t="inlineStr">
        <is>
          <t>a scale ratio is not a similarity transform; gravitational, electromagnetic and quantum scales do not co-transform, so bench structure does not model celestial structure</t>
        </is>
      </c>
      <c r="T11" s="7" t="n">
        <v>149597870700</v>
      </c>
      <c r="U11" s="7" t="n">
        <v>1</v>
      </c>
      <c r="V11" s="7" t="n">
        <v>6.684587122268445e-12</v>
      </c>
      <c r="W11" s="7" t="n"/>
      <c r="X11" s="7" t="n"/>
      <c r="Y11" s="7" t="n"/>
      <c r="Z11" s="7" t="n"/>
    </row>
    <row r="12">
      <c r="A12" s="7" t="inlineStr">
        <is>
          <t>R6-MAILBOX-NONLOCAL-REFUSAL</t>
        </is>
      </c>
      <c r="B12" s="7" t="inlineStr">
        <is>
          <t>refusal</t>
        </is>
      </c>
      <c r="C12" s="7" t="inlineStr">
        <is>
          <t>DERIVED_ARITHMETIC</t>
        </is>
      </c>
      <c r="D12" s="7" t="inlineStr">
        <is>
          <t>PUBLIC</t>
        </is>
      </c>
      <c r="E12" s="7" t="inlineStr">
        <is>
          <t>r6.mailbox.refuse_nonlocal_delivery</t>
        </is>
      </c>
      <c r="F12" s="7" t="n"/>
      <c r="G12" s="7" t="n"/>
      <c r="H12" s="7" t="n"/>
      <c r="I12" s="7" t="n"/>
      <c r="J12" s="7" t="n"/>
      <c r="K12" s="7" t="n"/>
      <c r="L12" s="7" t="n"/>
      <c r="M12" s="7" t="n"/>
      <c r="N12" s="7" t="n"/>
      <c r="O12" s="7" t="n"/>
      <c r="P12" s="7" t="n"/>
      <c r="Q12" s="7" t="n"/>
      <c r="R12" s="7" t="n"/>
      <c r="S12" s="7" t="n"/>
      <c r="T12" s="7" t="n"/>
      <c r="U12" s="7" t="n"/>
      <c r="V12" s="7" t="n"/>
      <c r="W12" s="7" t="inlineStr">
        <is>
          <t>deliver a payload to the celestial destination an address names</t>
        </is>
      </c>
      <c r="X12" s="7" t="inlineStr">
        <is>
          <t>REFUSED</t>
        </is>
      </c>
      <c r="Y12" s="7" t="inlineStr">
        <is>
          <t>the mailbox routes information locally through a declared protocol and establishes no nonlocal coupling to the named destination</t>
        </is>
      </c>
      <c r="Z12" s="7" t="inlineStr">
        <is>
          <t>ADDRESS_IS_A_CHANNEL</t>
        </is>
      </c>
    </row>
  </sheetData>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AB8"/>
  <sheetViews>
    <sheetView workbookViewId="0">
      <pane ySplit="1" topLeftCell="A2" activePane="bottomLeft" state="frozen"/>
      <selection pane="bottomLeft" activeCell="A1" sqref="A1"/>
    </sheetView>
  </sheetViews>
  <sheetFormatPr baseColWidth="8" defaultRowHeight="15"/>
  <cols>
    <col width="34" customWidth="1" min="1" max="1"/>
    <col width="17" customWidth="1" min="2" max="2"/>
    <col width="20" customWidth="1" min="3" max="3"/>
    <col width="15" customWidth="1" min="4" max="4"/>
    <col width="28" customWidth="1" min="5" max="5"/>
    <col width="13" customWidth="1" min="6" max="6"/>
    <col width="11" customWidth="1" min="7" max="7"/>
    <col width="21" customWidth="1" min="8" max="8"/>
    <col width="21" customWidth="1" min="9" max="9"/>
    <col width="26" customWidth="1" min="10" max="10"/>
    <col width="21" customWidth="1" min="11" max="11"/>
    <col width="21" customWidth="1" min="12" max="12"/>
    <col width="24" customWidth="1" min="13" max="13"/>
    <col width="14" customWidth="1" min="14" max="14"/>
    <col width="18" customWidth="1" min="15" max="15"/>
    <col width="16" customWidth="1" min="16" max="16"/>
    <col width="15" customWidth="1" min="17" max="17"/>
    <col width="19" customWidth="1" min="18" max="18"/>
    <col width="12" customWidth="1" min="19" max="19"/>
    <col width="14" customWidth="1" min="20" max="20"/>
    <col width="60" customWidth="1" min="21" max="21"/>
    <col width="56" customWidth="1" min="22" max="22"/>
    <col width="10" customWidth="1" min="23" max="23"/>
    <col width="21" customWidth="1" min="24" max="24"/>
    <col width="23" customWidth="1" min="25" max="25"/>
    <col width="24" customWidth="1" min="26" max="26"/>
    <col width="10" customWidth="1" min="27" max="27"/>
    <col width="60" customWidth="1" min="28" max="28"/>
  </cols>
  <sheetData>
    <row r="1">
      <c r="A1" s="27" t="inlineStr">
        <is>
          <t>id</t>
        </is>
      </c>
      <c r="B1" s="27" t="inlineStr">
        <is>
          <t>kind</t>
        </is>
      </c>
      <c r="C1" s="27" t="inlineStr">
        <is>
          <t>evidence_class</t>
        </is>
      </c>
      <c r="D1" s="27" t="inlineStr">
        <is>
          <t>privacy_class</t>
        </is>
      </c>
      <c r="E1" s="27" t="inlineStr">
        <is>
          <t>provenance</t>
        </is>
      </c>
      <c r="F1" s="27" t="inlineStr">
        <is>
          <t>group</t>
        </is>
      </c>
      <c r="G1" s="27" t="inlineStr">
        <is>
          <t>degrees</t>
        </is>
      </c>
      <c r="H1" s="27" t="inlineStr">
        <is>
          <t>observed_best_score</t>
        </is>
      </c>
      <c r="I1" s="27" t="inlineStr">
        <is>
          <t>selection_null_mean</t>
        </is>
      </c>
      <c r="J1" s="27" t="inlineStr">
        <is>
          <t>degree_matched_null_mean</t>
        </is>
      </c>
      <c r="K1" s="27" t="inlineStr">
        <is>
          <t>rotation_null_mean</t>
        </is>
      </c>
      <c r="L1" s="27" t="inlineStr">
        <is>
          <t>p_vs_selection_null</t>
        </is>
      </c>
      <c r="M1" s="27" t="inlineStr">
        <is>
          <t>significant_after_holm</t>
        </is>
      </c>
      <c r="N1" s="27" t="inlineStr">
        <is>
          <t>field_family</t>
        </is>
      </c>
      <c r="O1" s="27" t="inlineStr">
        <is>
          <t>planetary_status</t>
        </is>
      </c>
      <c r="P1" s="27" t="inlineStr">
        <is>
          <t>any_real_field</t>
        </is>
      </c>
      <c r="Q1" s="27" t="inlineStr">
        <is>
          <t>gravity_model</t>
        </is>
      </c>
      <c r="R1" s="27" t="inlineStr">
        <is>
          <t>geomagnetic_model</t>
        </is>
      </c>
      <c r="S1" s="27" t="inlineStr">
        <is>
          <t>topography</t>
        </is>
      </c>
      <c r="T1" s="27" t="inlineStr">
        <is>
          <t>status</t>
        </is>
      </c>
      <c r="U1" s="27" t="inlineStr">
        <is>
          <t>claim_ceiling</t>
        </is>
      </c>
      <c r="V1" s="27" t="inlineStr">
        <is>
          <t>verdict</t>
        </is>
      </c>
      <c r="W1" s="27" t="inlineStr">
        <is>
          <t>degree</t>
        </is>
      </c>
      <c r="X1" s="27" t="inlineStr">
        <is>
          <t>invariant_dimension</t>
        </is>
      </c>
      <c r="Y1" s="27" t="inlineStr">
        <is>
          <t>max_idempotency_error</t>
        </is>
      </c>
      <c r="Z1" s="27" t="inlineStr">
        <is>
          <t>max_hermiticity_error</t>
        </is>
      </c>
      <c r="AA1" s="27" t="inlineStr">
        <is>
          <t>ok</t>
        </is>
      </c>
      <c r="AB1" s="27" t="inlineStr">
        <is>
          <t>note</t>
        </is>
      </c>
    </row>
    <row r="2">
      <c r="A2" s="7" t="inlineStr">
        <is>
          <t>R6-GRID-TETRAHEDRAL</t>
        </is>
      </c>
      <c r="B2" s="7" t="inlineStr">
        <is>
          <t>symmetry_audit</t>
        </is>
      </c>
      <c r="C2" s="7" t="inlineStr">
        <is>
          <t>DERIVED_ARITHMETIC</t>
        </is>
      </c>
      <c r="D2" s="7" t="inlineStr">
        <is>
          <t>PUBLIC</t>
        </is>
      </c>
      <c r="E2" s="7" t="inlineStr">
        <is>
          <t>r6.grid.audit</t>
        </is>
      </c>
      <c r="F2" s="7" t="inlineStr">
        <is>
          <t>TETRAHEDRAL</t>
        </is>
      </c>
      <c r="G2" s="7" t="inlineStr">
        <is>
          <t>[3, 4, 6]</t>
        </is>
      </c>
      <c r="H2" s="7" t="n">
        <v>0.2550183153584749</v>
      </c>
      <c r="I2" s="7" t="n">
        <v>0.2343401758401156</v>
      </c>
      <c r="J2" s="7" t="n">
        <v>0.1478924664373897</v>
      </c>
      <c r="K2" s="7" t="n">
        <v>0.1558204585442537</v>
      </c>
      <c r="L2" s="7" t="n">
        <v>0.3076923076923077</v>
      </c>
      <c r="M2" s="7" t="b">
        <v>0</v>
      </c>
      <c r="N2" s="7" t="inlineStr">
        <is>
          <t>SYNTHETIC</t>
        </is>
      </c>
      <c r="O2" s="7" t="inlineStr">
        <is>
          <t>NO_REAL_DATA</t>
        </is>
      </c>
      <c r="P2" s="7" t="n"/>
      <c r="Q2" s="7" t="n"/>
      <c r="R2" s="7" t="n"/>
      <c r="S2" s="7" t="n"/>
      <c r="T2" s="7" t="n"/>
      <c r="U2" s="7" t="n"/>
      <c r="V2" s="7" t="n"/>
      <c r="W2" s="7" t="n"/>
      <c r="X2" s="7" t="n"/>
      <c r="Y2" s="7" t="n"/>
      <c r="Z2" s="7" t="n"/>
      <c r="AA2" s="7" t="n"/>
      <c r="AB2" s="7" t="n"/>
    </row>
    <row r="3">
      <c r="A3" s="7" t="inlineStr">
        <is>
          <t>R6-GRID-OCTAHEDRAL</t>
        </is>
      </c>
      <c r="B3" s="7" t="inlineStr">
        <is>
          <t>symmetry_audit</t>
        </is>
      </c>
      <c r="C3" s="7" t="inlineStr">
        <is>
          <t>DERIVED_ARITHMETIC</t>
        </is>
      </c>
      <c r="D3" s="7" t="inlineStr">
        <is>
          <t>PUBLIC</t>
        </is>
      </c>
      <c r="E3" s="7" t="inlineStr">
        <is>
          <t>r6.grid.audit</t>
        </is>
      </c>
      <c r="F3" s="7" t="inlineStr">
        <is>
          <t>OCTAHEDRAL</t>
        </is>
      </c>
      <c r="G3" s="7" t="inlineStr">
        <is>
          <t>[4, 6]</t>
        </is>
      </c>
      <c r="H3" s="7" t="n">
        <v>0.1799882136656807</v>
      </c>
      <c r="I3" s="7" t="n">
        <v>0.1738321920344564</v>
      </c>
      <c r="J3" s="7" t="n">
        <v>0.1310665443961004</v>
      </c>
      <c r="K3" s="7" t="n">
        <v>0.09509635536297079</v>
      </c>
      <c r="L3" s="7" t="n">
        <v>0.4615384615384616</v>
      </c>
      <c r="M3" s="7" t="b">
        <v>0</v>
      </c>
      <c r="N3" s="7" t="inlineStr">
        <is>
          <t>SYNTHETIC</t>
        </is>
      </c>
      <c r="O3" s="7" t="inlineStr">
        <is>
          <t>NO_REAL_DATA</t>
        </is>
      </c>
      <c r="P3" s="7" t="n"/>
      <c r="Q3" s="7" t="n"/>
      <c r="R3" s="7" t="n"/>
      <c r="S3" s="7" t="n"/>
      <c r="T3" s="7" t="n"/>
      <c r="U3" s="7" t="n"/>
      <c r="V3" s="7" t="n"/>
      <c r="W3" s="7" t="n"/>
      <c r="X3" s="7" t="n"/>
      <c r="Y3" s="7" t="n"/>
      <c r="Z3" s="7" t="n"/>
      <c r="AA3" s="7" t="n"/>
      <c r="AB3" s="7" t="n"/>
    </row>
    <row r="4">
      <c r="A4" s="7" t="inlineStr">
        <is>
          <t>R6-GRID-ICOSAHEDRAL</t>
        </is>
      </c>
      <c r="B4" s="7" t="inlineStr">
        <is>
          <t>symmetry_audit</t>
        </is>
      </c>
      <c r="C4" s="7" t="inlineStr">
        <is>
          <t>DERIVED_ARITHMETIC</t>
        </is>
      </c>
      <c r="D4" s="7" t="inlineStr">
        <is>
          <t>PUBLIC</t>
        </is>
      </c>
      <c r="E4" s="7" t="inlineStr">
        <is>
          <t>r6.grid.audit</t>
        </is>
      </c>
      <c r="F4" s="7" t="inlineStr">
        <is>
          <t>ICOSAHEDRAL</t>
        </is>
      </c>
      <c r="G4" s="7" t="inlineStr">
        <is>
          <t>[6]</t>
        </is>
      </c>
      <c r="H4" s="7" t="n">
        <v>0.120274435926126</v>
      </c>
      <c r="I4" s="7" t="n">
        <v>0.1782507205624853</v>
      </c>
      <c r="J4" s="7" t="n">
        <v>0.1225518473419849</v>
      </c>
      <c r="K4" s="7" t="n">
        <v>0.06677009075354301</v>
      </c>
      <c r="L4" s="7" t="n">
        <v>0.8461538461538461</v>
      </c>
      <c r="M4" s="7" t="b">
        <v>0</v>
      </c>
      <c r="N4" s="7" t="inlineStr">
        <is>
          <t>SYNTHETIC</t>
        </is>
      </c>
      <c r="O4" s="7" t="inlineStr">
        <is>
          <t>NO_REAL_DATA</t>
        </is>
      </c>
      <c r="P4" s="7" t="n"/>
      <c r="Q4" s="7" t="n"/>
      <c r="R4" s="7" t="n"/>
      <c r="S4" s="7" t="n"/>
      <c r="T4" s="7" t="n"/>
      <c r="U4" s="7" t="n"/>
      <c r="V4" s="7" t="n"/>
      <c r="W4" s="7" t="n"/>
      <c r="X4" s="7" t="n"/>
      <c r="Y4" s="7" t="n"/>
      <c r="Z4" s="7" t="n"/>
      <c r="AA4" s="7" t="n"/>
      <c r="AB4" s="7" t="n"/>
    </row>
    <row r="5">
      <c r="A5" s="7" t="inlineStr">
        <is>
          <t>R6-GRID-DATA-AVAILABILITY</t>
        </is>
      </c>
      <c r="B5" s="7" t="inlineStr">
        <is>
          <t>data_status</t>
        </is>
      </c>
      <c r="C5" s="7" t="inlineStr">
        <is>
          <t>DERIVED_ARITHMETIC</t>
        </is>
      </c>
      <c r="D5" s="7" t="inlineStr">
        <is>
          <t>PUBLIC</t>
        </is>
      </c>
      <c r="E5" s="7" t="inlineStr">
        <is>
          <t>r6.grid.data_availability</t>
        </is>
      </c>
      <c r="F5" s="7" t="n"/>
      <c r="G5" s="7" t="n"/>
      <c r="H5" s="7" t="n"/>
      <c r="I5" s="7" t="n"/>
      <c r="J5" s="7" t="n"/>
      <c r="K5" s="7" t="n"/>
      <c r="L5" s="7" t="n"/>
      <c r="M5" s="7" t="n"/>
      <c r="N5" s="7" t="n"/>
      <c r="O5" s="7" t="n"/>
      <c r="P5" s="7" t="b">
        <v>0</v>
      </c>
      <c r="Q5" s="7" t="inlineStr">
        <is>
          <t>ABSENT</t>
        </is>
      </c>
      <c r="R5" s="7" t="inlineStr">
        <is>
          <t>ABSENT</t>
        </is>
      </c>
      <c r="S5" s="7" t="inlineStr">
        <is>
          <t>ABSENT</t>
        </is>
      </c>
      <c r="T5" s="7" t="inlineStr">
        <is>
          <t>NO_REAL_DATA</t>
        </is>
      </c>
      <c r="U5" s="7" t="inlineStr">
        <is>
          <t>A statistically stable symmetry component is a geophysical pattern result. It is not an etheric grid, power point, vortex, portal, or living-planet mechanism without independent evidence (core/08).</t>
        </is>
      </c>
      <c r="V5" s="7" t="inlineStr">
        <is>
          <t>synthetic field: this measures the detector, not Earth</t>
        </is>
      </c>
      <c r="W5" s="7" t="n"/>
      <c r="X5" s="7" t="n"/>
      <c r="Y5" s="7" t="n"/>
      <c r="Z5" s="7" t="n"/>
      <c r="AA5" s="7" t="n"/>
      <c r="AB5" s="7" t="n"/>
    </row>
    <row r="6">
      <c r="A6" s="7" t="inlineStr">
        <is>
          <t>R6-GRID-PROJECTOR-TETRAHEDRAL-L3</t>
        </is>
      </c>
      <c r="B6" s="7" t="inlineStr">
        <is>
          <t>projector_check</t>
        </is>
      </c>
      <c r="C6" s="7" t="inlineStr">
        <is>
          <t>DERIVED_ARITHMETIC</t>
        </is>
      </c>
      <c r="D6" s="7" t="inlineStr">
        <is>
          <t>PUBLIC</t>
        </is>
      </c>
      <c r="E6" s="7" t="inlineStr">
        <is>
          <t>r6.wigner.verify_projector</t>
        </is>
      </c>
      <c r="F6" s="7" t="inlineStr">
        <is>
          <t>TETRAHEDRAL</t>
        </is>
      </c>
      <c r="G6" s="7" t="n"/>
      <c r="H6" s="7" t="n"/>
      <c r="I6" s="7" t="n"/>
      <c r="J6" s="7" t="n"/>
      <c r="K6" s="7" t="n"/>
      <c r="L6" s="7" t="n"/>
      <c r="M6" s="7" t="n"/>
      <c r="N6" s="7" t="n"/>
      <c r="O6" s="7" t="n"/>
      <c r="P6" s="7" t="n"/>
      <c r="Q6" s="7" t="n"/>
      <c r="R6" s="7" t="n"/>
      <c r="S6" s="7" t="n"/>
      <c r="T6" s="7" t="n"/>
      <c r="U6" s="7" t="n"/>
      <c r="V6" s="7" t="n"/>
      <c r="W6" s="7" t="n">
        <v>3</v>
      </c>
      <c r="X6" s="7" t="n">
        <v>1</v>
      </c>
      <c r="Y6" s="7" t="n">
        <v>5.1847740222248e-17</v>
      </c>
      <c r="Z6" s="7" t="n">
        <v>1.224646799147353e-16</v>
      </c>
      <c r="AA6" s="7" t="b">
        <v>1</v>
      </c>
      <c r="AB6" s="7" t="inlineStr">
        <is>
          <t>the projector independently reproduces the textbook lowest invariant degree for this group</t>
        </is>
      </c>
    </row>
    <row r="7">
      <c r="A7" s="7" t="inlineStr">
        <is>
          <t>R6-GRID-PROJECTOR-OCTAHEDRAL-L4</t>
        </is>
      </c>
      <c r="B7" s="7" t="inlineStr">
        <is>
          <t>projector_check</t>
        </is>
      </c>
      <c r="C7" s="7" t="inlineStr">
        <is>
          <t>DERIVED_ARITHMETIC</t>
        </is>
      </c>
      <c r="D7" s="7" t="inlineStr">
        <is>
          <t>PUBLIC</t>
        </is>
      </c>
      <c r="E7" s="7" t="inlineStr">
        <is>
          <t>r6.wigner.verify_projector</t>
        </is>
      </c>
      <c r="F7" s="7" t="inlineStr">
        <is>
          <t>OCTAHEDRAL</t>
        </is>
      </c>
      <c r="G7" s="7" t="n"/>
      <c r="H7" s="7" t="n"/>
      <c r="I7" s="7" t="n"/>
      <c r="J7" s="7" t="n"/>
      <c r="K7" s="7" t="n"/>
      <c r="L7" s="7" t="n"/>
      <c r="M7" s="7" t="n"/>
      <c r="N7" s="7" t="n"/>
      <c r="O7" s="7" t="n"/>
      <c r="P7" s="7" t="n"/>
      <c r="Q7" s="7" t="n"/>
      <c r="R7" s="7" t="n"/>
      <c r="S7" s="7" t="n"/>
      <c r="T7" s="7" t="n"/>
      <c r="U7" s="7" t="n"/>
      <c r="V7" s="7" t="n"/>
      <c r="W7" s="7" t="n">
        <v>4</v>
      </c>
      <c r="X7" s="7" t="n">
        <v>1</v>
      </c>
      <c r="Y7" s="7" t="n">
        <v>8.095376221225098e-17</v>
      </c>
      <c r="Z7" s="7" t="n">
        <v>5.102694996447305e-17</v>
      </c>
      <c r="AA7" s="7" t="b">
        <v>1</v>
      </c>
      <c r="AB7" s="7" t="inlineStr">
        <is>
          <t>the projector independently reproduces the textbook lowest invariant degree for this group</t>
        </is>
      </c>
    </row>
    <row r="8">
      <c r="A8" s="7" t="inlineStr">
        <is>
          <t>R6-GRID-PROJECTOR-ICOSAHEDRAL-L6</t>
        </is>
      </c>
      <c r="B8" s="7" t="inlineStr">
        <is>
          <t>projector_check</t>
        </is>
      </c>
      <c r="C8" s="7" t="inlineStr">
        <is>
          <t>DERIVED_ARITHMETIC</t>
        </is>
      </c>
      <c r="D8" s="7" t="inlineStr">
        <is>
          <t>PUBLIC</t>
        </is>
      </c>
      <c r="E8" s="7" t="inlineStr">
        <is>
          <t>r6.wigner.verify_projector</t>
        </is>
      </c>
      <c r="F8" s="7" t="inlineStr">
        <is>
          <t>ICOSAHEDRAL</t>
        </is>
      </c>
      <c r="G8" s="7" t="n"/>
      <c r="H8" s="7" t="n"/>
      <c r="I8" s="7" t="n"/>
      <c r="J8" s="7" t="n"/>
      <c r="K8" s="7" t="n"/>
      <c r="L8" s="7" t="n"/>
      <c r="M8" s="7" t="n"/>
      <c r="N8" s="7" t="n"/>
      <c r="O8" s="7" t="n"/>
      <c r="P8" s="7" t="n"/>
      <c r="Q8" s="7" t="n"/>
      <c r="R8" s="7" t="n"/>
      <c r="S8" s="7" t="n"/>
      <c r="T8" s="7" t="n"/>
      <c r="U8" s="7" t="n"/>
      <c r="V8" s="7" t="n"/>
      <c r="W8" s="7" t="n">
        <v>6</v>
      </c>
      <c r="X8" s="7" t="n">
        <v>1</v>
      </c>
      <c r="Y8" s="7" t="n">
        <v>2.220446643243601e-16</v>
      </c>
      <c r="Z8" s="7" t="n">
        <v>5.563437258427861e-17</v>
      </c>
      <c r="AA8" s="7" t="b">
        <v>1</v>
      </c>
      <c r="AB8" s="7" t="inlineStr">
        <is>
          <t>the projector independently reproduces the textbook lowest invariant degree for this group</t>
        </is>
      </c>
    </row>
  </sheetData>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P3"/>
  <sheetViews>
    <sheetView workbookViewId="0">
      <pane ySplit="1" topLeftCell="A2" activePane="bottomLeft" state="frozen"/>
      <selection pane="bottomLeft" activeCell="A1" sqref="A1"/>
    </sheetView>
  </sheetViews>
  <sheetFormatPr baseColWidth="8" defaultRowHeight="15"/>
  <cols>
    <col width="25" customWidth="1" min="1" max="1"/>
    <col width="21" customWidth="1" min="2" max="2"/>
    <col width="20" customWidth="1" min="3" max="3"/>
    <col width="15" customWidth="1" min="4" max="4"/>
    <col width="50" customWidth="1" min="5" max="5"/>
    <col width="12" customWidth="1" min="6" max="6"/>
    <col width="15" customWidth="1" min="7" max="7"/>
    <col width="18" customWidth="1" min="8" max="8"/>
    <col width="18" customWidth="1" min="9" max="9"/>
    <col width="10" customWidth="1" min="10" max="10"/>
    <col width="22" customWidth="1" min="11" max="11"/>
    <col width="60" customWidth="1" min="12" max="12"/>
    <col width="34" customWidth="1" min="13" max="13"/>
    <col width="26" customWidth="1" min="14" max="14"/>
    <col width="20" customWidth="1" min="15" max="15"/>
    <col width="60" customWidth="1" min="16" max="16"/>
  </cols>
  <sheetData>
    <row r="1">
      <c r="A1" s="27" t="inlineStr">
        <is>
          <t>id</t>
        </is>
      </c>
      <c r="B1" s="27" t="inlineStr">
        <is>
          <t>kind</t>
        </is>
      </c>
      <c r="C1" s="27" t="inlineStr">
        <is>
          <t>evidence_class</t>
        </is>
      </c>
      <c r="D1" s="27" t="inlineStr">
        <is>
          <t>privacy_class</t>
        </is>
      </c>
      <c r="E1" s="27" t="inlineStr">
        <is>
          <t>provenance</t>
        </is>
      </c>
      <c r="F1" s="27" t="inlineStr">
        <is>
          <t>n_channels</t>
        </is>
      </c>
      <c r="G1" s="27" t="inlineStr">
        <is>
          <t>n_instruments</t>
        </is>
      </c>
      <c r="H1" s="27" t="inlineStr">
        <is>
          <t>channels_covered</t>
        </is>
      </c>
      <c r="I1" s="27" t="inlineStr">
        <is>
          <t>channels_missing</t>
        </is>
      </c>
      <c r="J1" s="27" t="inlineStr">
        <is>
          <t>complete</t>
        </is>
      </c>
      <c r="K1" s="27" t="inlineStr">
        <is>
          <t>uncalibrated_devices</t>
        </is>
      </c>
      <c r="L1" s="27" t="inlineStr">
        <is>
          <t>note</t>
        </is>
      </c>
      <c r="M1" s="27" t="inlineStr">
        <is>
          <t>claimed_quantity</t>
        </is>
      </c>
      <c r="N1" s="27" t="inlineStr">
        <is>
          <t>calibration_status</t>
        </is>
      </c>
      <c r="O1" s="27" t="inlineStr">
        <is>
          <t>covers_any_channel</t>
        </is>
      </c>
      <c r="P1" s="27" t="inlineStr">
        <is>
          <t>reason</t>
        </is>
      </c>
    </row>
    <row r="2">
      <c r="A2" s="7" t="inlineStr">
        <is>
          <t>R6-INSTRUMENT-COVERAGE</t>
        </is>
      </c>
      <c r="B2" s="7" t="inlineStr">
        <is>
          <t>coverage</t>
        </is>
      </c>
      <c r="C2" s="7" t="inlineStr">
        <is>
          <t>DERIVED_ARITHMETIC</t>
        </is>
      </c>
      <c r="D2" s="7" t="inlineStr">
        <is>
          <t>PUBLIC</t>
        </is>
      </c>
      <c r="E2" s="7" t="inlineStr">
        <is>
          <t>r6.instrument.coverage_report</t>
        </is>
      </c>
      <c r="F2" s="7" t="n">
        <v>18</v>
      </c>
      <c r="G2" s="7" t="n">
        <v>46</v>
      </c>
      <c r="H2" s="7" t="n">
        <v>18</v>
      </c>
      <c r="I2" s="7" t="n">
        <v>0</v>
      </c>
      <c r="J2" s="7" t="b">
        <v>1</v>
      </c>
      <c r="K2" s="7" t="n">
        <v>1</v>
      </c>
      <c r="L2" s="7" t="inlineStr">
        <is>
          <t>Catalogue-class specifications, not owned equipment and not bench data. Uncalibrated devices are listed separately and cover no channel.</t>
        </is>
      </c>
      <c r="M2" s="7" t="n"/>
      <c r="N2" s="7" t="n"/>
      <c r="O2" s="7" t="n"/>
      <c r="P2" s="7" t="n"/>
    </row>
    <row r="3">
      <c r="A3" s="13" t="inlineStr">
        <is>
          <t>DEV-CADUCEUS-TORSION-01</t>
        </is>
      </c>
      <c r="B3" s="13" t="inlineStr">
        <is>
          <t>uncalibrated_device</t>
        </is>
      </c>
      <c r="C3" s="13" t="inlineStr">
        <is>
          <t>UNSUPPORTED</t>
        </is>
      </c>
      <c r="D3" s="13" t="inlineStr">
        <is>
          <t>PUBLIC</t>
        </is>
      </c>
      <c r="E3" s="13" t="inlineStr">
        <is>
          <t>catalogue-class description, not owned equipment</t>
        </is>
      </c>
      <c r="F3" s="13" t="n"/>
      <c r="G3" s="13" t="n"/>
      <c r="H3" s="13" t="n"/>
      <c r="I3" s="13" t="n"/>
      <c r="J3" s="13" t="n"/>
      <c r="K3" s="13" t="n"/>
      <c r="L3" s="13" t="n"/>
      <c r="M3" s="13" t="inlineStr">
        <is>
          <t>scalar / torsion field amplitude</t>
        </is>
      </c>
      <c r="N3" s="13" t="inlineStr">
        <is>
          <t>UNCALIBRATED_NO_STANDARD</t>
        </is>
      </c>
      <c r="O3" s="13" t="b">
        <v>0</v>
      </c>
      <c r="P3" s="13" t="inlineStr">
        <is>
          <t>A scalar or torsion sensor built from caduceus (bifilar counter-wound) coils has NO accepted calibration standard, because there is no agreed reference source of the quantity it claims to measure, no traceability chain and no unit. Its output is a voltage on an unbalanced winding and responds to ordinary electromagnetic pickup, thermal EMF and mechanical microphonics — all of which are already covered by calibrated instruments in INSTRUMENT_MATRIX. It is therefore NOT a measurement channel: it cannot bound anything, cannot contribute to a combined uncertainty, and cannot raise or support a residual. If it is built at all it is built as an apparatus element whose ordinary response is characterized by the calibrated instruments, never as a detector.</t>
        </is>
      </c>
    </row>
  </sheetData>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AB10"/>
  <sheetViews>
    <sheetView workbookViewId="0">
      <pane ySplit="1" topLeftCell="A2" activePane="bottomLeft" state="frozen"/>
      <selection pane="bottomLeft" activeCell="A1" sqref="A1"/>
    </sheetView>
  </sheetViews>
  <sheetFormatPr baseColWidth="8" defaultRowHeight="15"/>
  <cols>
    <col width="31" customWidth="1" min="1" max="1"/>
    <col width="19" customWidth="1" min="2" max="2"/>
    <col width="20" customWidth="1" min="3" max="3"/>
    <col width="15" customWidth="1" min="4" max="4"/>
    <col width="31" customWidth="1" min="5" max="5"/>
    <col width="21" customWidth="1" min="6" max="6"/>
    <col width="18" customWidth="1" min="7" max="7"/>
    <col width="17" customWidth="1" min="8" max="8"/>
    <col width="29" customWidth="1" min="9" max="9"/>
    <col width="10" customWidth="1" min="10" max="10"/>
    <col width="22" customWidth="1" min="11" max="11"/>
    <col width="29" customWidth="1" min="12" max="12"/>
    <col width="20" customWidth="1" min="13" max="13"/>
    <col width="20" customWidth="1" min="14" max="14"/>
    <col width="10" customWidth="1" min="15" max="15"/>
    <col width="17" customWidth="1" min="16" max="16"/>
    <col width="60" customWidth="1" min="17" max="17"/>
    <col width="13" customWidth="1" min="18" max="18"/>
    <col width="12" customWidth="1" min="19" max="19"/>
    <col width="60" customWidth="1" min="20" max="20"/>
    <col width="17" customWidth="1" min="21" max="21"/>
    <col width="39" customWidth="1" min="22" max="22"/>
    <col width="41" customWidth="1" min="23" max="23"/>
    <col width="60" customWidth="1" min="24" max="24"/>
    <col width="60" customWidth="1" min="25" max="25"/>
    <col width="21" customWidth="1" min="26" max="26"/>
    <col width="60" customWidth="1" min="27" max="27"/>
    <col width="60" customWidth="1" min="28" max="28"/>
  </cols>
  <sheetData>
    <row r="1">
      <c r="A1" s="27" t="inlineStr">
        <is>
          <t>id</t>
        </is>
      </c>
      <c r="B1" s="27" t="inlineStr">
        <is>
          <t>kind</t>
        </is>
      </c>
      <c r="C1" s="27" t="inlineStr">
        <is>
          <t>evidence_class</t>
        </is>
      </c>
      <c r="D1" s="27" t="inlineStr">
        <is>
          <t>privacy_class</t>
        </is>
      </c>
      <c r="E1" s="27" t="inlineStr">
        <is>
          <t>provenance</t>
        </is>
      </c>
      <c r="F1" s="27" t="inlineStr">
        <is>
          <t>maturity</t>
        </is>
      </c>
      <c r="G1" s="27" t="inlineStr">
        <is>
          <t>maturity_ceiling</t>
        </is>
      </c>
      <c r="H1" s="27" t="inlineStr">
        <is>
          <t>implementations</t>
        </is>
      </c>
      <c r="I1" s="27" t="inlineStr">
        <is>
          <t>independent_implementations</t>
        </is>
      </c>
      <c r="J1" s="27" t="inlineStr">
        <is>
          <t>authors</t>
        </is>
      </c>
      <c r="K1" s="27" t="inlineStr">
        <is>
          <t>public_specification</t>
        </is>
      </c>
      <c r="L1" s="27" t="inlineStr">
        <is>
          <t>independent_governance_body</t>
        </is>
      </c>
      <c r="M1" s="27" t="inlineStr">
        <is>
          <t>governance_process</t>
        </is>
      </c>
      <c r="N1" s="27" t="inlineStr">
        <is>
          <t>single_vendor_lock</t>
        </is>
      </c>
      <c r="O1" s="27" t="inlineStr">
        <is>
          <t>adoption</t>
        </is>
      </c>
      <c r="P1" s="27" t="inlineStr">
        <is>
          <t>security_review</t>
        </is>
      </c>
      <c r="Q1" s="27" t="inlineStr">
        <is>
          <t>note</t>
        </is>
      </c>
      <c r="R1" s="27" t="inlineStr">
        <is>
          <t>gates_total</t>
        </is>
      </c>
      <c r="S1" s="27" t="inlineStr">
        <is>
          <t>gates_open</t>
        </is>
      </c>
      <c r="T1" s="27" t="inlineStr">
        <is>
          <t>gates_missing</t>
        </is>
      </c>
      <c r="U1" s="27" t="inlineStr">
        <is>
          <t>ready_for_bench</t>
        </is>
      </c>
      <c r="V1" s="27" t="inlineStr">
        <is>
          <t>status</t>
        </is>
      </c>
      <c r="W1" s="27" t="inlineStr">
        <is>
          <t>hazards_refused</t>
        </is>
      </c>
      <c r="X1" s="27" t="inlineStr">
        <is>
          <t>statement</t>
        </is>
      </c>
      <c r="Y1" s="27" t="inlineStr">
        <is>
          <t>next_real_step</t>
        </is>
      </c>
      <c r="Z1" s="27" t="inlineStr">
        <is>
          <t>hazard</t>
        </is>
      </c>
      <c r="AA1" s="27" t="inlineStr">
        <is>
          <t>description</t>
        </is>
      </c>
      <c r="AB1" s="27" t="inlineStr">
        <is>
          <t>control</t>
        </is>
      </c>
    </row>
    <row r="2">
      <c r="A2" s="7" t="inlineStr">
        <is>
          <t>R6-PROTOCOL-GOVERNANCE</t>
        </is>
      </c>
      <c r="B2" s="7" t="inlineStr">
        <is>
          <t>governance_status</t>
        </is>
      </c>
      <c r="C2" s="7" t="inlineStr">
        <is>
          <t>DERIVED_ARITHMETIC</t>
        </is>
      </c>
      <c r="D2" s="7" t="inlineStr">
        <is>
          <t>PUBLIC</t>
        </is>
      </c>
      <c r="E2" s="7" t="inlineStr">
        <is>
          <t>r6.protocol.governance_status</t>
        </is>
      </c>
      <c r="F2" s="7" t="inlineStr">
        <is>
          <t>EXPERIMENTAL_SCHEMA</t>
        </is>
      </c>
      <c r="G2" s="7" t="inlineStr">
        <is>
          <t>DRAFT_PROTOCOL</t>
        </is>
      </c>
      <c r="H2" s="7" t="n">
        <v>1</v>
      </c>
      <c r="I2" s="7" t="n">
        <v>0</v>
      </c>
      <c r="J2" s="7" t="n">
        <v>1</v>
      </c>
      <c r="K2" s="7" t="b">
        <v>0</v>
      </c>
      <c r="L2" s="7" t="b">
        <v>0</v>
      </c>
      <c r="M2" s="7" t="inlineStr">
        <is>
          <t>NONE</t>
        </is>
      </c>
      <c r="N2" s="7" t="b">
        <v>1</v>
      </c>
      <c r="O2" s="7" t="inlineStr">
        <is>
          <t>NONE</t>
        </is>
      </c>
      <c r="P2" s="7" t="inlineStr">
        <is>
          <t>NOT_PERFORMED</t>
        </is>
      </c>
      <c r="Q2" s="7" t="inlineStr">
        <is>
          <t>authority follows adoption, interoperability and governance; it is never asserted by authorship</t>
        </is>
      </c>
      <c r="R2" s="7" t="n"/>
      <c r="S2" s="7" t="n"/>
      <c r="T2" s="7" t="n"/>
      <c r="U2" s="7" t="n"/>
      <c r="V2" s="7" t="n"/>
      <c r="W2" s="7" t="n"/>
      <c r="X2" s="7" t="n"/>
      <c r="Y2" s="7" t="n"/>
      <c r="Z2" s="7" t="n"/>
      <c r="AA2" s="7" t="n"/>
      <c r="AB2" s="7" t="n"/>
    </row>
    <row r="3">
      <c r="A3" s="7" t="inlineStr">
        <is>
          <t>R6-BENCH-READINESS</t>
        </is>
      </c>
      <c r="B3" s="7" t="inlineStr">
        <is>
          <t>bench_readiness</t>
        </is>
      </c>
      <c r="C3" s="7" t="inlineStr">
        <is>
          <t>DERIVED_ARITHMETIC</t>
        </is>
      </c>
      <c r="D3" s="7" t="inlineStr">
        <is>
          <t>PUBLIC</t>
        </is>
      </c>
      <c r="E3" s="7" t="inlineStr">
        <is>
          <t>r6.bench.bench_readiness</t>
        </is>
      </c>
      <c r="F3" s="7" t="n"/>
      <c r="G3" s="7" t="n"/>
      <c r="H3" s="7" t="n"/>
      <c r="I3" s="7" t="n"/>
      <c r="J3" s="7" t="n"/>
      <c r="K3" s="7" t="n"/>
      <c r="L3" s="7" t="n"/>
      <c r="M3" s="7" t="n"/>
      <c r="N3" s="7" t="n"/>
      <c r="O3" s="7" t="n"/>
      <c r="P3" s="7" t="n"/>
      <c r="Q3" s="7" t="n"/>
      <c r="R3" s="7" t="n">
        <v>10</v>
      </c>
      <c r="S3" s="7" t="n">
        <v>5</v>
      </c>
      <c r="T3" s="7" t="inlineStr">
        <is>
          <t>CALIBRATION_PLAN; PREREGISTERED_ANALYSIS; SAFETY_REVIEW; OPERATOR_COMPETENCE; DATA_MANAGEMENT_PLAN</t>
        </is>
      </c>
      <c r="U3" s="7" t="b">
        <v>0</v>
      </c>
      <c r="V3" s="7" t="inlineStr">
        <is>
          <t>SOFTWARE_COMPLETE_PHYSICALLY_UNTESTED</t>
        </is>
      </c>
      <c r="W3" s="7" t="inlineStr">
        <is>
          <t>MAINS_CONSTRUCTION; BIOLOGICAL_EXPOSURE</t>
        </is>
      </c>
      <c r="X3" s="7" t="inlineStr">
        <is>
          <t>R6 produced models, controls and refusals. It produced no measurement. No coil has been wound, no crystal driven, no clock compared, no spin written or read, and no geophysical dataset loaded. Bench readiness here describes documentation completeness and nothing about the physical world.</t>
        </is>
      </c>
      <c r="Y3" s="7" t="inlineStr">
        <is>
          <t>The cheapest genuinely informative experiment is not the full apparatus. It is a two-oscillator comparison with a declared transfer link, because it tests the witness channel -- the one component whose claim ceiling is actually reachable -- without needing the coil, the crystal, or any of the contested geometry.</t>
        </is>
      </c>
      <c r="Z3" s="7" t="n"/>
      <c r="AA3" s="7" t="n"/>
      <c r="AB3" s="7" t="n"/>
    </row>
    <row r="4">
      <c r="A4" s="7" t="inlineStr">
        <is>
          <t>R6-HAZARD-HIGH_VOLTAGE_PULSE</t>
        </is>
      </c>
      <c r="B4" s="7" t="inlineStr">
        <is>
          <t>hazard</t>
        </is>
      </c>
      <c r="C4" s="7" t="inlineStr">
        <is>
          <t>DERIVED_ARITHMETIC</t>
        </is>
      </c>
      <c r="D4" s="7" t="inlineStr">
        <is>
          <t>PUBLIC</t>
        </is>
      </c>
      <c r="E4" s="7" t="inlineStr">
        <is>
          <t>r6.bench.HAZARDS</t>
        </is>
      </c>
      <c r="F4" s="7" t="n"/>
      <c r="G4" s="7" t="n"/>
      <c r="H4" s="7" t="n"/>
      <c r="I4" s="7" t="n"/>
      <c r="J4" s="7" t="n"/>
      <c r="K4" s="7" t="n"/>
      <c r="L4" s="7" t="n"/>
      <c r="M4" s="7" t="n"/>
      <c r="N4" s="7" t="n"/>
      <c r="O4" s="7" t="n"/>
      <c r="P4" s="7" t="n"/>
      <c r="Q4" s="7" t="n"/>
      <c r="R4" s="7" t="n"/>
      <c r="S4" s="7" t="n"/>
      <c r="T4" s="7" t="n"/>
      <c r="U4" s="7" t="n"/>
      <c r="V4" s="7" t="inlineStr">
        <is>
          <t>CONTROLLED_BY_DESIGN</t>
        </is>
      </c>
      <c r="W4" s="7" t="n"/>
      <c r="X4" s="7" t="n"/>
      <c r="Y4" s="7" t="n"/>
      <c r="Z4" s="7" t="inlineStr">
        <is>
          <t>HIGH_VOLTAGE_PULSE</t>
        </is>
      </c>
      <c r="AA4" s="7" t="inlineStr">
        <is>
          <t>pulsed drive into an inductive load produces large back-EMF at switch-off</t>
        </is>
      </c>
      <c r="AB4" s="7" t="inlineStr">
        <is>
          <t>enclosed drive, interlocked cover, snubber and clamp, discharge path, isolated probe only</t>
        </is>
      </c>
    </row>
    <row r="5">
      <c r="A5" s="7" t="inlineStr">
        <is>
          <t>R6-HAZARD-MAINS_CONSTRUCTION</t>
        </is>
      </c>
      <c r="B5" s="7" t="inlineStr">
        <is>
          <t>hazard</t>
        </is>
      </c>
      <c r="C5" s="7" t="inlineStr">
        <is>
          <t>DERIVED_ARITHMETIC</t>
        </is>
      </c>
      <c r="D5" s="7" t="inlineStr">
        <is>
          <t>PUBLIC</t>
        </is>
      </c>
      <c r="E5" s="7" t="inlineStr">
        <is>
          <t>r6.bench.HAZARDS</t>
        </is>
      </c>
      <c r="F5" s="7" t="n"/>
      <c r="G5" s="7" t="n"/>
      <c r="H5" s="7" t="n"/>
      <c r="I5" s="7" t="n"/>
      <c r="J5" s="7" t="n"/>
      <c r="K5" s="7" t="n"/>
      <c r="L5" s="7" t="n"/>
      <c r="M5" s="7" t="n"/>
      <c r="N5" s="7" t="n"/>
      <c r="O5" s="7" t="n"/>
      <c r="P5" s="7" t="n"/>
      <c r="Q5" s="7" t="n"/>
      <c r="R5" s="7" t="n"/>
      <c r="S5" s="7" t="n"/>
      <c r="T5" s="7" t="n"/>
      <c r="U5" s="7" t="n"/>
      <c r="V5" s="7" t="inlineStr">
        <is>
          <t>REFUSED_UNLESS_QUALIFIED</t>
        </is>
      </c>
      <c r="W5" s="7" t="n"/>
      <c r="X5" s="7" t="n"/>
      <c r="Y5" s="7" t="n"/>
      <c r="Z5" s="7" t="inlineStr">
        <is>
          <t>MAINS_CONSTRUCTION</t>
        </is>
      </c>
      <c r="AA5" s="7" t="inlineStr">
        <is>
          <t>any mains-connected build</t>
        </is>
      </c>
      <c r="AB5" s="7" t="inlineStr">
        <is>
          <t>must be performed by a qualified person to the local electrical code</t>
        </is>
      </c>
    </row>
    <row r="6">
      <c r="A6" s="7" t="inlineStr">
        <is>
          <t>R6-HAZARD-RF_EMISSION</t>
        </is>
      </c>
      <c r="B6" s="7" t="inlineStr">
        <is>
          <t>hazard</t>
        </is>
      </c>
      <c r="C6" s="7" t="inlineStr">
        <is>
          <t>DERIVED_ARITHMETIC</t>
        </is>
      </c>
      <c r="D6" s="7" t="inlineStr">
        <is>
          <t>PUBLIC</t>
        </is>
      </c>
      <c r="E6" s="7" t="inlineStr">
        <is>
          <t>r6.bench.HAZARDS</t>
        </is>
      </c>
      <c r="F6" s="7" t="n"/>
      <c r="G6" s="7" t="n"/>
      <c r="H6" s="7" t="n"/>
      <c r="I6" s="7" t="n"/>
      <c r="J6" s="7" t="n"/>
      <c r="K6" s="7" t="n"/>
      <c r="L6" s="7" t="n"/>
      <c r="M6" s="7" t="n"/>
      <c r="N6" s="7" t="n"/>
      <c r="O6" s="7" t="n"/>
      <c r="P6" s="7" t="n"/>
      <c r="Q6" s="7" t="n"/>
      <c r="R6" s="7" t="n"/>
      <c r="S6" s="7" t="n"/>
      <c r="T6" s="7" t="n"/>
      <c r="U6" s="7" t="n"/>
      <c r="V6" s="7" t="inlineStr">
        <is>
          <t>CONTROLLED_BY_DESIGN</t>
        </is>
      </c>
      <c r="W6" s="7" t="n"/>
      <c r="X6" s="7" t="n"/>
      <c r="Y6" s="7" t="n"/>
      <c r="Z6" s="7" t="inlineStr">
        <is>
          <t>RF_EMISSION</t>
        </is>
      </c>
      <c r="AA6" s="7" t="inlineStr">
        <is>
          <t>drive harmonics and switching transients radiate</t>
        </is>
      </c>
      <c r="AB6" s="7" t="inlineStr">
        <is>
          <t>screened enclosure, no open 2.45 GHz radiator, emission survey before extended running</t>
        </is>
      </c>
    </row>
    <row r="7">
      <c r="A7" s="7" t="inlineStr">
        <is>
          <t>R6-HAZARD-OPTICAL</t>
        </is>
      </c>
      <c r="B7" s="7" t="inlineStr">
        <is>
          <t>hazard</t>
        </is>
      </c>
      <c r="C7" s="7" t="inlineStr">
        <is>
          <t>DERIVED_ARITHMETIC</t>
        </is>
      </c>
      <c r="D7" s="7" t="inlineStr">
        <is>
          <t>PUBLIC</t>
        </is>
      </c>
      <c r="E7" s="7" t="inlineStr">
        <is>
          <t>r6.bench.HAZARDS</t>
        </is>
      </c>
      <c r="F7" s="7" t="n"/>
      <c r="G7" s="7" t="n"/>
      <c r="H7" s="7" t="n"/>
      <c r="I7" s="7" t="n"/>
      <c r="J7" s="7" t="n"/>
      <c r="K7" s="7" t="n"/>
      <c r="L7" s="7" t="n"/>
      <c r="M7" s="7" t="n"/>
      <c r="N7" s="7" t="n"/>
      <c r="O7" s="7" t="n"/>
      <c r="P7" s="7" t="n"/>
      <c r="Q7" s="7" t="n"/>
      <c r="R7" s="7" t="n"/>
      <c r="S7" s="7" t="n"/>
      <c r="T7" s="7" t="n"/>
      <c r="U7" s="7" t="n"/>
      <c r="V7" s="7" t="inlineStr">
        <is>
          <t>CONTROLLED_BY_DESIGN</t>
        </is>
      </c>
      <c r="W7" s="7" t="n"/>
      <c r="X7" s="7" t="n"/>
      <c r="Y7" s="7" t="n"/>
      <c r="Z7" s="7" t="inlineStr">
        <is>
          <t>OPTICAL</t>
        </is>
      </c>
      <c r="AA7" s="7" t="inlineStr">
        <is>
          <t>readout laser or probe beam</t>
        </is>
      </c>
      <c r="AB7" s="7" t="inlineStr">
        <is>
          <t>fully enclosed beam path, no exposed beam at eye height, interlocks, appropriate eyewear class</t>
        </is>
      </c>
    </row>
    <row r="8">
      <c r="A8" s="7" t="inlineStr">
        <is>
          <t>R6-HAZARD-ULTRASOUND</t>
        </is>
      </c>
      <c r="B8" s="7" t="inlineStr">
        <is>
          <t>hazard</t>
        </is>
      </c>
      <c r="C8" s="7" t="inlineStr">
        <is>
          <t>DERIVED_ARITHMETIC</t>
        </is>
      </c>
      <c r="D8" s="7" t="inlineStr">
        <is>
          <t>PUBLIC</t>
        </is>
      </c>
      <c r="E8" s="7" t="inlineStr">
        <is>
          <t>r6.bench.HAZARDS</t>
        </is>
      </c>
      <c r="F8" s="7" t="n"/>
      <c r="G8" s="7" t="n"/>
      <c r="H8" s="7" t="n"/>
      <c r="I8" s="7" t="n"/>
      <c r="J8" s="7" t="n"/>
      <c r="K8" s="7" t="n"/>
      <c r="L8" s="7" t="n"/>
      <c r="M8" s="7" t="n"/>
      <c r="N8" s="7" t="n"/>
      <c r="O8" s="7" t="n"/>
      <c r="P8" s="7" t="n"/>
      <c r="Q8" s="7" t="n"/>
      <c r="R8" s="7" t="n"/>
      <c r="S8" s="7" t="n"/>
      <c r="T8" s="7" t="n"/>
      <c r="U8" s="7" t="n"/>
      <c r="V8" s="7" t="inlineStr">
        <is>
          <t>CONTROLLED_BY_DESIGN</t>
        </is>
      </c>
      <c r="W8" s="7" t="n"/>
      <c r="X8" s="7" t="n"/>
      <c r="Y8" s="7" t="n"/>
      <c r="Z8" s="7" t="inlineStr">
        <is>
          <t>ULTRASOUND</t>
        </is>
      </c>
      <c r="AA8" s="7" t="inlineStr">
        <is>
          <t>acoustic drive above audibility</t>
        </is>
      </c>
      <c r="AB8" s="7" t="inlineStr">
        <is>
          <t>enclosure, exposure limits, no direct contact with the specimen mount during drive</t>
        </is>
      </c>
    </row>
    <row r="9">
      <c r="A9" s="7" t="inlineStr">
        <is>
          <t>R6-HAZARD-MECHANICAL_FRACTURE</t>
        </is>
      </c>
      <c r="B9" s="7" t="inlineStr">
        <is>
          <t>hazard</t>
        </is>
      </c>
      <c r="C9" s="7" t="inlineStr">
        <is>
          <t>DERIVED_ARITHMETIC</t>
        </is>
      </c>
      <c r="D9" s="7" t="inlineStr">
        <is>
          <t>PUBLIC</t>
        </is>
      </c>
      <c r="E9" s="7" t="inlineStr">
        <is>
          <t>r6.bench.HAZARDS</t>
        </is>
      </c>
      <c r="F9" s="7" t="n"/>
      <c r="G9" s="7" t="n"/>
      <c r="H9" s="7" t="n"/>
      <c r="I9" s="7" t="n"/>
      <c r="J9" s="7" t="n"/>
      <c r="K9" s="7" t="n"/>
      <c r="L9" s="7" t="n"/>
      <c r="M9" s="7" t="n"/>
      <c r="N9" s="7" t="n"/>
      <c r="O9" s="7" t="n"/>
      <c r="P9" s="7" t="n"/>
      <c r="Q9" s="7" t="n"/>
      <c r="R9" s="7" t="n"/>
      <c r="S9" s="7" t="n"/>
      <c r="T9" s="7" t="n"/>
      <c r="U9" s="7" t="n"/>
      <c r="V9" s="7" t="inlineStr">
        <is>
          <t>CONTROLLED_BY_DESIGN</t>
        </is>
      </c>
      <c r="W9" s="7" t="n"/>
      <c r="X9" s="7" t="n"/>
      <c r="Y9" s="7" t="n"/>
      <c r="Z9" s="7" t="inlineStr">
        <is>
          <t>MECHANICAL_FRACTURE</t>
        </is>
      </c>
      <c r="AA9" s="7" t="inlineStr">
        <is>
          <t>a driven crystal can fracture; the source itself warns the sound could 'breach' it</t>
        </is>
      </c>
      <c r="AB9" s="7" t="inlineStr">
        <is>
          <t>containment shield, drive amplitude ramp, modal Q limit, eye protection</t>
        </is>
      </c>
    </row>
    <row r="10">
      <c r="A10" s="7" t="inlineStr">
        <is>
          <t>R6-HAZARD-BIOLOGICAL_EXPOSURE</t>
        </is>
      </c>
      <c r="B10" s="7" t="inlineStr">
        <is>
          <t>hazard</t>
        </is>
      </c>
      <c r="C10" s="7" t="inlineStr">
        <is>
          <t>DERIVED_ARITHMETIC</t>
        </is>
      </c>
      <c r="D10" s="7" t="inlineStr">
        <is>
          <t>PUBLIC</t>
        </is>
      </c>
      <c r="E10" s="7" t="inlineStr">
        <is>
          <t>r6.bench.HAZARDS</t>
        </is>
      </c>
      <c r="F10" s="7" t="n"/>
      <c r="G10" s="7" t="n"/>
      <c r="H10" s="7" t="n"/>
      <c r="I10" s="7" t="n"/>
      <c r="J10" s="7" t="n"/>
      <c r="K10" s="7" t="n"/>
      <c r="L10" s="7" t="n"/>
      <c r="M10" s="7" t="n"/>
      <c r="N10" s="7" t="n"/>
      <c r="O10" s="7" t="n"/>
      <c r="P10" s="7" t="n"/>
      <c r="Q10" s="7" t="n"/>
      <c r="R10" s="7" t="n"/>
      <c r="S10" s="7" t="n"/>
      <c r="T10" s="7" t="n"/>
      <c r="U10" s="7" t="n"/>
      <c r="V10" s="7" t="inlineStr">
        <is>
          <t>REFUSED_ENTIRELY</t>
        </is>
      </c>
      <c r="W10" s="7" t="n"/>
      <c r="X10" s="7" t="n"/>
      <c r="Y10" s="7" t="n"/>
      <c r="Z10" s="7" t="inlineStr">
        <is>
          <t>BIOLOGICAL_EXPOSURE</t>
        </is>
      </c>
      <c r="AA10" s="7" t="inlineStr">
        <is>
          <t>any human or animal exposure</t>
        </is>
      </c>
      <c r="AB10" s="7" t="inlineStr">
        <is>
          <t>none offered</t>
        </is>
      </c>
    </row>
  </sheetData>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AC9"/>
  <sheetViews>
    <sheetView workbookViewId="0">
      <pane ySplit="1" topLeftCell="A2" activePane="bottomLeft" state="frozen"/>
      <selection pane="bottomLeft" activeCell="A1" sqref="A1"/>
    </sheetView>
  </sheetViews>
  <sheetFormatPr baseColWidth="8" defaultRowHeight="15"/>
  <cols>
    <col width="33" customWidth="1" min="1" max="1"/>
    <col width="16" customWidth="1" min="2" max="2"/>
    <col width="20" customWidth="1" min="3" max="3"/>
    <col width="15" customWidth="1" min="4" max="4"/>
    <col width="29" customWidth="1" min="5" max="5"/>
    <col width="60" customWidth="1" min="6" max="6"/>
    <col width="24" customWidth="1" min="7" max="7"/>
    <col width="20" customWidth="1" min="8" max="8"/>
    <col width="22" customWidth="1" min="9" max="9"/>
    <col width="18" customWidth="1" min="10" max="10"/>
    <col width="26" customWidth="1" min="11" max="11"/>
    <col width="18" customWidth="1" min="12" max="12"/>
    <col width="17" customWidth="1" min="13" max="13"/>
    <col width="60" customWidth="1" min="14" max="14"/>
    <col width="24" customWidth="1" min="15" max="15"/>
    <col width="15" customWidth="1" min="16" max="16"/>
    <col width="14" customWidth="1" min="17" max="17"/>
    <col width="12" customWidth="1" min="18" max="18"/>
    <col width="13" customWidth="1" min="19" max="19"/>
    <col width="13" customWidth="1" min="20" max="20"/>
    <col width="13" customWidth="1" min="21" max="21"/>
    <col width="13" customWidth="1" min="22" max="22"/>
    <col width="60" customWidth="1" min="23" max="23"/>
    <col width="19" customWidth="1" min="24" max="24"/>
    <col width="13" customWidth="1" min="25" max="25"/>
    <col width="12" customWidth="1" min="26" max="26"/>
    <col width="10" customWidth="1" min="27" max="27"/>
    <col width="60" customWidth="1" min="28" max="28"/>
    <col width="20" customWidth="1" min="29" max="29"/>
  </cols>
  <sheetData>
    <row r="1">
      <c r="A1" s="27" t="inlineStr">
        <is>
          <t>id</t>
        </is>
      </c>
      <c r="B1" s="27" t="inlineStr">
        <is>
          <t>kind</t>
        </is>
      </c>
      <c r="C1" s="27" t="inlineStr">
        <is>
          <t>evidence_class</t>
        </is>
      </c>
      <c r="D1" s="27" t="inlineStr">
        <is>
          <t>privacy_class</t>
        </is>
      </c>
      <c r="E1" s="27" t="inlineStr">
        <is>
          <t>provenance</t>
        </is>
      </c>
      <c r="F1" s="27" t="inlineStr">
        <is>
          <t>claim</t>
        </is>
      </c>
      <c r="G1" s="27" t="inlineStr">
        <is>
          <t>status</t>
        </is>
      </c>
      <c r="H1" s="27" t="inlineStr">
        <is>
          <t>forced_common_bits</t>
        </is>
      </c>
      <c r="I1" s="27" t="inlineStr">
        <is>
          <t>observed_common_bits</t>
        </is>
      </c>
      <c r="J1" s="27" t="inlineStr">
        <is>
          <t>informative_bits</t>
        </is>
      </c>
      <c r="K1" s="27" t="inlineStr">
        <is>
          <t>header_is_forced_by_span</t>
        </is>
      </c>
      <c r="L1" s="27" t="inlineStr">
        <is>
          <t>null_3x12_p_both</t>
        </is>
      </c>
      <c r="M1" s="27" t="inlineStr">
        <is>
          <t>null_6x6_p_both</t>
        </is>
      </c>
      <c r="N1" s="27" t="inlineStr">
        <is>
          <t>verdict</t>
        </is>
      </c>
      <c r="O1" s="27" t="inlineStr">
        <is>
          <t>ceiling</t>
        </is>
      </c>
      <c r="P1" s="27" t="inlineStr">
        <is>
          <t>source_string</t>
        </is>
      </c>
      <c r="Q1" s="27" t="inlineStr">
        <is>
          <t>value</t>
        </is>
      </c>
      <c r="R1" s="27" t="inlineStr">
        <is>
          <t>bit_length</t>
        </is>
      </c>
      <c r="S1" s="27" t="inlineStr">
        <is>
          <t>header_3x12</t>
        </is>
      </c>
      <c r="T1" s="27" t="inlineStr">
        <is>
          <t>field1_3x12</t>
        </is>
      </c>
      <c r="U1" s="27" t="inlineStr">
        <is>
          <t>field2_3x12</t>
        </is>
      </c>
      <c r="V1" s="27" t="inlineStr">
        <is>
          <t>field3_3x12</t>
        </is>
      </c>
      <c r="W1" s="27" t="inlineStr">
        <is>
          <t>note</t>
        </is>
      </c>
      <c r="X1" s="27" t="inlineStr">
        <is>
          <t>parse</t>
        </is>
      </c>
      <c r="Y1" s="27" t="inlineStr">
        <is>
          <t>header_bits</t>
        </is>
      </c>
      <c r="Z1" s="27" t="inlineStr">
        <is>
          <t>field_bits</t>
        </is>
      </c>
      <c r="AA1" s="27" t="inlineStr">
        <is>
          <t>n_fields</t>
        </is>
      </c>
      <c r="AB1" s="27" t="inlineStr">
        <is>
          <t>digest</t>
        </is>
      </c>
      <c r="AC1" s="27" t="inlineStr">
        <is>
          <t>semantics_declared</t>
        </is>
      </c>
    </row>
    <row r="2">
      <c r="A2" s="7" t="inlineStr">
        <is>
          <t>R7-CW-PARSE-NULL</t>
        </is>
      </c>
      <c r="B2" s="7" t="inlineStr">
        <is>
          <t>parse_null</t>
        </is>
      </c>
      <c r="C2" s="7" t="inlineStr">
        <is>
          <t>DERIVED_ARITHMETIC</t>
        </is>
      </c>
      <c r="D2" s="7" t="inlineStr">
        <is>
          <t>PUBLIC</t>
        </is>
      </c>
      <c r="E2" s="7" t="inlineStr">
        <is>
          <t>r7.cw.status_report</t>
        </is>
      </c>
      <c r="F2" s="7" t="inlineStr">
        <is>
          <t>the five CW strings encode a header plus 4096-state fields</t>
        </is>
      </c>
      <c r="G2" s="7" t="inlineStr">
        <is>
          <t>CW_PARSE_RETROSPECTIVE</t>
        </is>
      </c>
      <c r="H2" s="7" t="n">
        <v>15</v>
      </c>
      <c r="I2" s="7" t="n">
        <v>15</v>
      </c>
      <c r="J2" s="7" t="n">
        <v>0</v>
      </c>
      <c r="K2" s="7" t="b">
        <v>1</v>
      </c>
      <c r="L2" s="7" t="n">
        <v>1</v>
      </c>
      <c r="M2" s="7" t="n">
        <v>1</v>
      </c>
      <c r="N2" s="7" t="inlineStr">
        <is>
          <t>The shared header and shared leading field are forced by the values' span, not by any encoding. Random integers drawn from the same interval reproduce the same 'structure' at a rate of 1.000. The observation is compatible with a protocol and is equally compatible with five arbitrary numbers that happen to be close together, so it discriminates between them not at all.</t>
        </is>
      </c>
      <c r="O2" s="7" t="inlineStr">
        <is>
          <t>CW_PARSE_RETROSPECTIVE</t>
        </is>
      </c>
      <c r="P2" s="7" t="n"/>
      <c r="Q2" s="7" t="n"/>
      <c r="R2" s="7" t="n"/>
      <c r="S2" s="7" t="n"/>
      <c r="T2" s="7" t="n"/>
      <c r="U2" s="7" t="n"/>
      <c r="V2" s="7" t="n"/>
      <c r="W2" s="7" t="n"/>
      <c r="X2" s="7" t="n"/>
      <c r="Y2" s="7" t="n"/>
      <c r="Z2" s="7" t="n"/>
      <c r="AA2" s="7" t="n"/>
      <c r="AB2" s="7" t="n"/>
      <c r="AC2" s="7" t="n"/>
    </row>
    <row r="3">
      <c r="A3" s="6" t="inlineStr">
        <is>
          <t>R7-CW-VECTOR-00</t>
        </is>
      </c>
      <c r="B3" s="6" t="inlineStr">
        <is>
          <t>source_vector</t>
        </is>
      </c>
      <c r="C3" s="6" t="inlineStr">
        <is>
          <t>SOURCE_CLAIM</t>
        </is>
      </c>
      <c r="D3" s="6" t="inlineStr">
        <is>
          <t>PUBLIC</t>
        </is>
      </c>
      <c r="E3" s="6" t="inlineStr">
        <is>
          <t>JH corpus CW vector strings</t>
        </is>
      </c>
      <c r="F3" s="6" t="n"/>
      <c r="G3" s="6" t="n"/>
      <c r="H3" s="6" t="n"/>
      <c r="I3" s="6" t="n"/>
      <c r="J3" s="6" t="n"/>
      <c r="K3" s="6" t="n"/>
      <c r="L3" s="6" t="n"/>
      <c r="M3" s="6" t="n"/>
      <c r="N3" s="6" t="n"/>
      <c r="O3" s="6" t="n"/>
      <c r="P3" s="6" t="inlineStr">
        <is>
          <t>162875493612</t>
        </is>
      </c>
      <c r="Q3" s="6" t="n">
        <v>162875493612</v>
      </c>
      <c r="R3" s="6" t="n">
        <v>38</v>
      </c>
      <c r="S3" s="6" t="n">
        <v>2</v>
      </c>
      <c r="T3" s="6" t="n">
        <v>1516</v>
      </c>
      <c r="U3" s="6" t="n">
        <v>556</v>
      </c>
      <c r="V3" s="6" t="n">
        <v>3308</v>
      </c>
      <c r="W3" s="6" t="inlineStr">
        <is>
          <t>header and field1 lie inside the 15 leading bits forced identical by the interval; only fields 2 and 3 carry any variation</t>
        </is>
      </c>
      <c r="X3" s="6" t="n"/>
      <c r="Y3" s="6" t="n"/>
      <c r="Z3" s="6" t="n"/>
      <c r="AA3" s="6" t="n"/>
      <c r="AB3" s="6" t="n"/>
      <c r="AC3" s="6" t="n"/>
    </row>
    <row r="4">
      <c r="A4" s="6" t="inlineStr">
        <is>
          <t>R7-CW-VECTOR-01</t>
        </is>
      </c>
      <c r="B4" s="6" t="inlineStr">
        <is>
          <t>source_vector</t>
        </is>
      </c>
      <c r="C4" s="6" t="inlineStr">
        <is>
          <t>SOURCE_CLAIM</t>
        </is>
      </c>
      <c r="D4" s="6" t="inlineStr">
        <is>
          <t>PUBLIC</t>
        </is>
      </c>
      <c r="E4" s="6" t="inlineStr">
        <is>
          <t>JH corpus CW vector strings</t>
        </is>
      </c>
      <c r="F4" s="6" t="n"/>
      <c r="G4" s="6" t="n"/>
      <c r="H4" s="6" t="n"/>
      <c r="I4" s="6" t="n"/>
      <c r="J4" s="6" t="n"/>
      <c r="K4" s="6" t="n"/>
      <c r="L4" s="6" t="n"/>
      <c r="M4" s="6" t="n"/>
      <c r="N4" s="6" t="n"/>
      <c r="O4" s="6" t="n"/>
      <c r="P4" s="6" t="inlineStr">
        <is>
          <t>162875432975</t>
        </is>
      </c>
      <c r="Q4" s="6" t="n">
        <v>162875432975</v>
      </c>
      <c r="R4" s="6" t="n">
        <v>38</v>
      </c>
      <c r="S4" s="6" t="n">
        <v>2</v>
      </c>
      <c r="T4" s="6" t="n">
        <v>1516</v>
      </c>
      <c r="U4" s="6" t="n">
        <v>542</v>
      </c>
      <c r="V4" s="6" t="n">
        <v>15</v>
      </c>
      <c r="W4" s="6" t="inlineStr">
        <is>
          <t>header and field1 lie inside the 15 leading bits forced identical by the interval; only fields 2 and 3 carry any variation</t>
        </is>
      </c>
      <c r="X4" s="6" t="n"/>
      <c r="Y4" s="6" t="n"/>
      <c r="Z4" s="6" t="n"/>
      <c r="AA4" s="6" t="n"/>
      <c r="AB4" s="6" t="n"/>
      <c r="AC4" s="6" t="n"/>
    </row>
    <row r="5">
      <c r="A5" s="6" t="inlineStr">
        <is>
          <t>R7-CW-VECTOR-02</t>
        </is>
      </c>
      <c r="B5" s="6" t="inlineStr">
        <is>
          <t>source_vector</t>
        </is>
      </c>
      <c r="C5" s="6" t="inlineStr">
        <is>
          <t>SOURCE_CLAIM</t>
        </is>
      </c>
      <c r="D5" s="6" t="inlineStr">
        <is>
          <t>PUBLIC</t>
        </is>
      </c>
      <c r="E5" s="6" t="inlineStr">
        <is>
          <t>JH corpus CW vector strings</t>
        </is>
      </c>
      <c r="F5" s="6" t="n"/>
      <c r="G5" s="6" t="n"/>
      <c r="H5" s="6" t="n"/>
      <c r="I5" s="6" t="n"/>
      <c r="J5" s="6" t="n"/>
      <c r="K5" s="6" t="n"/>
      <c r="L5" s="6" t="n"/>
      <c r="M5" s="6" t="n"/>
      <c r="N5" s="6" t="n"/>
      <c r="O5" s="6" t="n"/>
      <c r="P5" s="6" t="inlineStr">
        <is>
          <t>162877542769</t>
        </is>
      </c>
      <c r="Q5" s="6" t="n">
        <v>162877542769</v>
      </c>
      <c r="R5" s="6" t="n">
        <v>38</v>
      </c>
      <c r="S5" s="6" t="n">
        <v>2</v>
      </c>
      <c r="T5" s="6" t="n">
        <v>1516</v>
      </c>
      <c r="U5" s="6" t="n">
        <v>1057</v>
      </c>
      <c r="V5" s="6" t="n">
        <v>369</v>
      </c>
      <c r="W5" s="6" t="inlineStr">
        <is>
          <t>header and field1 lie inside the 15 leading bits forced identical by the interval; only fields 2 and 3 carry any variation</t>
        </is>
      </c>
      <c r="X5" s="6" t="n"/>
      <c r="Y5" s="6" t="n"/>
      <c r="Z5" s="6" t="n"/>
      <c r="AA5" s="6" t="n"/>
      <c r="AB5" s="6" t="n"/>
      <c r="AC5" s="6" t="n"/>
    </row>
    <row r="6">
      <c r="A6" s="6" t="inlineStr">
        <is>
          <t>R7-CW-VECTOR-03</t>
        </is>
      </c>
      <c r="B6" s="6" t="inlineStr">
        <is>
          <t>source_vector</t>
        </is>
      </c>
      <c r="C6" s="6" t="inlineStr">
        <is>
          <t>SOURCE_CLAIM</t>
        </is>
      </c>
      <c r="D6" s="6" t="inlineStr">
        <is>
          <t>PUBLIC</t>
        </is>
      </c>
      <c r="E6" s="6" t="inlineStr">
        <is>
          <t>JH corpus CW vector strings</t>
        </is>
      </c>
      <c r="F6" s="6" t="n"/>
      <c r="G6" s="6" t="n"/>
      <c r="H6" s="6" t="n"/>
      <c r="I6" s="6" t="n"/>
      <c r="J6" s="6" t="n"/>
      <c r="K6" s="6" t="n"/>
      <c r="L6" s="6" t="n"/>
      <c r="M6" s="6" t="n"/>
      <c r="N6" s="6" t="n"/>
      <c r="O6" s="6" t="n"/>
      <c r="P6" s="6" t="inlineStr">
        <is>
          <t>162875439275</t>
        </is>
      </c>
      <c r="Q6" s="6" t="n">
        <v>162875439275</v>
      </c>
      <c r="R6" s="6" t="n">
        <v>38</v>
      </c>
      <c r="S6" s="6" t="n">
        <v>2</v>
      </c>
      <c r="T6" s="6" t="n">
        <v>1516</v>
      </c>
      <c r="U6" s="6" t="n">
        <v>543</v>
      </c>
      <c r="V6" s="6" t="n">
        <v>2219</v>
      </c>
      <c r="W6" s="6" t="inlineStr">
        <is>
          <t>header and field1 lie inside the 15 leading bits forced identical by the interval; only fields 2 and 3 carry any variation</t>
        </is>
      </c>
      <c r="X6" s="6" t="n"/>
      <c r="Y6" s="6" t="n"/>
      <c r="Z6" s="6" t="n"/>
      <c r="AA6" s="6" t="n"/>
      <c r="AB6" s="6" t="n"/>
      <c r="AC6" s="6" t="n"/>
    </row>
    <row r="7">
      <c r="A7" s="6" t="inlineStr">
        <is>
          <t>R7-CW-VECTOR-04</t>
        </is>
      </c>
      <c r="B7" s="6" t="inlineStr">
        <is>
          <t>source_vector</t>
        </is>
      </c>
      <c r="C7" s="6" t="inlineStr">
        <is>
          <t>SOURCE_CLAIM</t>
        </is>
      </c>
      <c r="D7" s="6" t="inlineStr">
        <is>
          <t>PUBLIC</t>
        </is>
      </c>
      <c r="E7" s="6" t="inlineStr">
        <is>
          <t>JH corpus CW vector strings</t>
        </is>
      </c>
      <c r="F7" s="6" t="n"/>
      <c r="G7" s="6" t="n"/>
      <c r="H7" s="6" t="n"/>
      <c r="I7" s="6" t="n"/>
      <c r="J7" s="6" t="n"/>
      <c r="K7" s="6" t="n"/>
      <c r="L7" s="6" t="n"/>
      <c r="M7" s="6" t="n"/>
      <c r="N7" s="6" t="n"/>
      <c r="O7" s="6" t="n"/>
      <c r="P7" s="6" t="inlineStr">
        <is>
          <t>162875439285</t>
        </is>
      </c>
      <c r="Q7" s="6" t="n">
        <v>162875439285</v>
      </c>
      <c r="R7" s="6" t="n">
        <v>38</v>
      </c>
      <c r="S7" s="6" t="n">
        <v>2</v>
      </c>
      <c r="T7" s="6" t="n">
        <v>1516</v>
      </c>
      <c r="U7" s="6" t="n">
        <v>543</v>
      </c>
      <c r="V7" s="6" t="n">
        <v>2229</v>
      </c>
      <c r="W7" s="6" t="inlineStr">
        <is>
          <t>header and field1 lie inside the 15 leading bits forced identical by the interval; only fields 2 and 3 carry any variation</t>
        </is>
      </c>
      <c r="X7" s="6" t="n"/>
      <c r="Y7" s="6" t="n"/>
      <c r="Z7" s="6" t="n"/>
      <c r="AA7" s="6" t="n"/>
      <c r="AB7" s="6" t="n"/>
      <c r="AC7" s="6" t="n"/>
    </row>
    <row r="8">
      <c r="A8" s="7" t="inlineStr">
        <is>
          <t>R7-CW-DECODER-HEADER2_PLUS_3X12</t>
        </is>
      </c>
      <c r="B8" s="7" t="inlineStr">
        <is>
          <t>frozen_decoder</t>
        </is>
      </c>
      <c r="C8" s="7" t="inlineStr">
        <is>
          <t>DERIVED_ARITHMETIC</t>
        </is>
      </c>
      <c r="D8" s="7" t="inlineStr">
        <is>
          <t>PUBLIC</t>
        </is>
      </c>
      <c r="E8" s="7" t="inlineStr">
        <is>
          <t>r7.cw.FROZEN_DECODERS</t>
        </is>
      </c>
      <c r="F8" s="7" t="n"/>
      <c r="G8" s="7" t="n"/>
      <c r="H8" s="7" t="n"/>
      <c r="I8" s="7" t="n"/>
      <c r="J8" s="7" t="n"/>
      <c r="K8" s="7" t="n"/>
      <c r="L8" s="7" t="n"/>
      <c r="M8" s="7" t="n"/>
      <c r="N8" s="7" t="n"/>
      <c r="O8" s="7" t="n"/>
      <c r="P8" s="7" t="n"/>
      <c r="Q8" s="7" t="n"/>
      <c r="R8" s="7" t="n"/>
      <c r="S8" s="7" t="n"/>
      <c r="T8" s="7" t="n"/>
      <c r="U8" s="7" t="n"/>
      <c r="V8" s="7" t="n"/>
      <c r="W8" s="7" t="inlineStr">
        <is>
          <t>frozen by digest so future vectors test it prospectively; reassignment raises</t>
        </is>
      </c>
      <c r="X8" s="7" t="inlineStr">
        <is>
          <t>HEADER2_PLUS_3X12</t>
        </is>
      </c>
      <c r="Y8" s="7" t="n">
        <v>2</v>
      </c>
      <c r="Z8" s="7" t="n">
        <v>12</v>
      </c>
      <c r="AA8" s="7" t="n">
        <v>3</v>
      </c>
      <c r="AB8" s="7" t="inlineStr">
        <is>
          <t>5abb080761489f51851367453beafa037c8d04bb5141d55922909ef26a365b71</t>
        </is>
      </c>
      <c r="AC8" s="7" t="b">
        <v>0</v>
      </c>
    </row>
    <row r="9">
      <c r="A9" s="7" t="inlineStr">
        <is>
          <t>R7-CW-DECODER-HEADER2_PLUS_6X6</t>
        </is>
      </c>
      <c r="B9" s="7" t="inlineStr">
        <is>
          <t>frozen_decoder</t>
        </is>
      </c>
      <c r="C9" s="7" t="inlineStr">
        <is>
          <t>DERIVED_ARITHMETIC</t>
        </is>
      </c>
      <c r="D9" s="7" t="inlineStr">
        <is>
          <t>PUBLIC</t>
        </is>
      </c>
      <c r="E9" s="7" t="inlineStr">
        <is>
          <t>r7.cw.FROZEN_DECODERS</t>
        </is>
      </c>
      <c r="F9" s="7" t="n"/>
      <c r="G9" s="7" t="n"/>
      <c r="H9" s="7" t="n"/>
      <c r="I9" s="7" t="n"/>
      <c r="J9" s="7" t="n"/>
      <c r="K9" s="7" t="n"/>
      <c r="L9" s="7" t="n"/>
      <c r="M9" s="7" t="n"/>
      <c r="N9" s="7" t="n"/>
      <c r="O9" s="7" t="n"/>
      <c r="P9" s="7" t="n"/>
      <c r="Q9" s="7" t="n"/>
      <c r="R9" s="7" t="n"/>
      <c r="S9" s="7" t="n"/>
      <c r="T9" s="7" t="n"/>
      <c r="U9" s="7" t="n"/>
      <c r="V9" s="7" t="n"/>
      <c r="W9" s="7" t="inlineStr">
        <is>
          <t>frozen by digest so future vectors test it prospectively; reassignment raises</t>
        </is>
      </c>
      <c r="X9" s="7" t="inlineStr">
        <is>
          <t>HEADER2_PLUS_6X6</t>
        </is>
      </c>
      <c r="Y9" s="7" t="n">
        <v>2</v>
      </c>
      <c r="Z9" s="7" t="n">
        <v>6</v>
      </c>
      <c r="AA9" s="7" t="n">
        <v>6</v>
      </c>
      <c r="AB9" s="7" t="inlineStr">
        <is>
          <t>8db7a8c3afe61501050906e228f41484aeb87d159d3c157a446e34b1e4165c09</t>
        </is>
      </c>
      <c r="AC9" s="7" t="b">
        <v>0</v>
      </c>
    </row>
  </sheetData>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U6"/>
  <sheetViews>
    <sheetView workbookViewId="0">
      <pane ySplit="1" topLeftCell="A2" activePane="bottomLeft" state="frozen"/>
      <selection pane="bottomLeft" activeCell="A1" sqref="A1"/>
    </sheetView>
  </sheetViews>
  <sheetFormatPr baseColWidth="8" defaultRowHeight="15"/>
  <cols>
    <col width="31" customWidth="1" min="1" max="1"/>
    <col width="20" customWidth="1" min="2" max="2"/>
    <col width="20" customWidth="1" min="3" max="3"/>
    <col width="15" customWidth="1" min="4" max="4"/>
    <col width="28" customWidth="1" min="5" max="5"/>
    <col width="20" customWidth="1" min="6" max="6"/>
    <col width="16" customWidth="1" min="7" max="7"/>
    <col width="24" customWidth="1" min="8" max="8"/>
    <col width="28" customWidth="1" min="9" max="9"/>
    <col width="28" customWidth="1" min="10" max="10"/>
    <col width="20" customWidth="1" min="11" max="11"/>
    <col width="26" customWidth="1" min="12" max="12"/>
    <col width="23" customWidth="1" min="13" max="13"/>
    <col width="60" customWidth="1" min="14" max="14"/>
    <col width="13" customWidth="1" min="15" max="15"/>
    <col width="60" customWidth="1" min="16" max="16"/>
    <col width="28" customWidth="1" min="17" max="17"/>
    <col width="36" customWidth="1" min="18" max="18"/>
    <col width="60" customWidth="1" min="19" max="19"/>
    <col width="60" customWidth="1" min="20" max="20"/>
    <col width="60" customWidth="1" min="21" max="21"/>
  </cols>
  <sheetData>
    <row r="1">
      <c r="A1" s="27" t="inlineStr">
        <is>
          <t>id</t>
        </is>
      </c>
      <c r="B1" s="27" t="inlineStr">
        <is>
          <t>kind</t>
        </is>
      </c>
      <c r="C1" s="27" t="inlineStr">
        <is>
          <t>evidence_class</t>
        </is>
      </c>
      <c r="D1" s="27" t="inlineStr">
        <is>
          <t>privacy_class</t>
        </is>
      </c>
      <c r="E1" s="27" t="inlineStr">
        <is>
          <t>provenance</t>
        </is>
      </c>
      <c r="F1" s="27" t="inlineStr">
        <is>
          <t>configuration</t>
        </is>
      </c>
      <c r="G1" s="27" t="inlineStr">
        <is>
          <t>total_energy_j</t>
        </is>
      </c>
      <c r="H1" s="27" t="inlineStr">
        <is>
          <t>equivalent_mass_kg</t>
        </is>
      </c>
      <c r="I1" s="27" t="inlineStr">
        <is>
          <t>predicted_fractional_shift</t>
        </is>
      </c>
      <c r="J1" s="27" t="inlineStr">
        <is>
          <t>predicted_acceleration_ms2</t>
        </is>
      </c>
      <c r="K1" s="27" t="inlineStr">
        <is>
          <t>clock_gap_decades</t>
        </is>
      </c>
      <c r="L1" s="27" t="inlineStr">
        <is>
          <t>acceleration_gap_decades</t>
        </is>
      </c>
      <c r="M1" s="27" t="inlineStr">
        <is>
          <t>status</t>
        </is>
      </c>
      <c r="N1" s="27" t="inlineStr">
        <is>
          <t>note</t>
        </is>
      </c>
      <c r="O1" s="27" t="inlineStr">
        <is>
          <t>all_refused</t>
        </is>
      </c>
      <c r="P1" s="27" t="inlineStr">
        <is>
          <t>configurations_refused</t>
        </is>
      </c>
      <c r="Q1" s="27" t="inlineStr">
        <is>
          <t>reference_1mm_height_shift</t>
        </is>
      </c>
      <c r="R1" s="27" t="inlineStr">
        <is>
          <t>ratio_1mm_lift_over_best_apparatus</t>
        </is>
      </c>
      <c r="S1" s="27" t="inlineStr">
        <is>
          <t>verdict</t>
        </is>
      </c>
      <c r="T1" s="27" t="inlineStr">
        <is>
          <t>consequence</t>
        </is>
      </c>
      <c r="U1" s="27" t="inlineStr">
        <is>
          <t>what_this_does_not_say</t>
        </is>
      </c>
    </row>
    <row r="2">
      <c r="A2" s="7" t="inlineStr">
        <is>
          <t>R7-GRAVITY-HANDHELD_CRYSTAL</t>
        </is>
      </c>
      <c r="B2" s="7" t="inlineStr">
        <is>
          <t>gravity_arithmetic</t>
        </is>
      </c>
      <c r="C2" s="7" t="inlineStr">
        <is>
          <t>DERIVED_ARITHMETIC</t>
        </is>
      </c>
      <c r="D2" s="7" t="inlineStr">
        <is>
          <t>PUBLIC</t>
        </is>
      </c>
      <c r="E2" s="7" t="inlineStr">
        <is>
          <t>r7.gravity.assess</t>
        </is>
      </c>
      <c r="F2" s="7" t="inlineStr">
        <is>
          <t>HANDHELD_CRYSTAL</t>
        </is>
      </c>
      <c r="G2" s="7" t="n">
        <v>1.001e-06</v>
      </c>
      <c r="H2" s="7" t="n">
        <v>1.113762706109672e-23</v>
      </c>
      <c r="I2" s="7" t="n">
        <v>8.270980357337734e-50</v>
      </c>
      <c r="J2" s="7" t="n">
        <v>7.433586429387782e-32</v>
      </c>
      <c r="K2" s="7" t="n">
        <v>30.08244301057463</v>
      </c>
      <c r="L2" s="7" t="n">
        <v>20.12880160471878</v>
      </c>
      <c r="M2" s="7" t="inlineStr">
        <is>
          <t>REFUSED_BY_ARITHMETIC</t>
        </is>
      </c>
      <c r="N2" s="7" t="inlineStr">
        <is>
          <t>the predicted effect is 20.1 orders of magnitude below the best instrument that exists. Averaging reduces white noise as sqrt(t), so closing 20.1 decades would need about 10^40 seconds of integration -- unreachable regardless of patience or funding.</t>
        </is>
      </c>
      <c r="O2" s="7" t="n"/>
      <c r="P2" s="7" t="n"/>
      <c r="Q2" s="7" t="n"/>
      <c r="R2" s="7" t="n"/>
      <c r="S2" s="7" t="n"/>
      <c r="T2" s="7" t="n"/>
      <c r="U2" s="7" t="n"/>
    </row>
    <row r="3">
      <c r="A3" s="7" t="inlineStr">
        <is>
          <t>R7-GRAVITY-BENCH_COIL_DRIVE</t>
        </is>
      </c>
      <c r="B3" s="7" t="inlineStr">
        <is>
          <t>gravity_arithmetic</t>
        </is>
      </c>
      <c r="C3" s="7" t="inlineStr">
        <is>
          <t>DERIVED_ARITHMETIC</t>
        </is>
      </c>
      <c r="D3" s="7" t="inlineStr">
        <is>
          <t>PUBLIC</t>
        </is>
      </c>
      <c r="E3" s="7" t="inlineStr">
        <is>
          <t>r7.gravity.assess</t>
        </is>
      </c>
      <c r="F3" s="7" t="inlineStr">
        <is>
          <t>BENCH_COIL_DRIVE</t>
        </is>
      </c>
      <c r="G3" s="7" t="n">
        <v>19.001</v>
      </c>
      <c r="H3" s="7" t="n">
        <v>2.114146371507481e-16</v>
      </c>
      <c r="I3" s="7" t="n">
        <v>1.569998978719024e-42</v>
      </c>
      <c r="J3" s="7" t="n">
        <v>1.411044712735237e-24</v>
      </c>
      <c r="K3" s="7" t="n">
        <v>22.8041006300983</v>
      </c>
      <c r="L3" s="7" t="n">
        <v>12.85045922424245</v>
      </c>
      <c r="M3" s="7" t="inlineStr">
        <is>
          <t>REFUSED_BY_ARITHMETIC</t>
        </is>
      </c>
      <c r="N3" s="7" t="inlineStr">
        <is>
          <t>the predicted effect is 12.9 orders of magnitude below the best instrument that exists. Averaging reduces white noise as sqrt(t), so closing 12.9 decades would need about 10^26 seconds of integration -- unreachable regardless of patience or funding.</t>
        </is>
      </c>
      <c r="O3" s="7" t="n"/>
      <c r="P3" s="7" t="n"/>
      <c r="Q3" s="7" t="n"/>
      <c r="R3" s="7" t="n"/>
      <c r="S3" s="7" t="n"/>
      <c r="T3" s="7" t="n"/>
      <c r="U3" s="7" t="n"/>
    </row>
    <row r="4">
      <c r="A4" s="7" t="inlineStr">
        <is>
          <t>R7-GRAVITY-HIGH_POWER_PULSE</t>
        </is>
      </c>
      <c r="B4" s="7" t="inlineStr">
        <is>
          <t>gravity_arithmetic</t>
        </is>
      </c>
      <c r="C4" s="7" t="inlineStr">
        <is>
          <t>DERIVED_ARITHMETIC</t>
        </is>
      </c>
      <c r="D4" s="7" t="inlineStr">
        <is>
          <t>PUBLIC</t>
        </is>
      </c>
      <c r="E4" s="7" t="inlineStr">
        <is>
          <t>r7.gravity.assess</t>
        </is>
      </c>
      <c r="F4" s="7" t="inlineStr">
        <is>
          <t>HIGH_POWER_PULSE</t>
        </is>
      </c>
      <c r="G4" s="7" t="n">
        <v>2900</v>
      </c>
      <c r="H4" s="7" t="n">
        <v>3.226685162555494e-14</v>
      </c>
      <c r="I4" s="7" t="n">
        <v>2.396188115512431e-40</v>
      </c>
      <c r="J4" s="7" t="n">
        <v>2.153586478044412e-22</v>
      </c>
      <c r="K4" s="7" t="n">
        <v>20.62047909015499</v>
      </c>
      <c r="L4" s="7" t="n">
        <v>10.66683768429914</v>
      </c>
      <c r="M4" s="7" t="inlineStr">
        <is>
          <t>REFUSED_BY_ARITHMETIC</t>
        </is>
      </c>
      <c r="N4" s="7" t="inlineStr">
        <is>
          <t>the predicted effect is 10.7 orders of magnitude below the best instrument that exists. Averaging reduces white noise as sqrt(t), so closing 10.7 decades would need about 10^21 seconds of integration -- unreachable regardless of patience or funding.</t>
        </is>
      </c>
      <c r="O4" s="7" t="n"/>
      <c r="P4" s="7" t="n"/>
      <c r="Q4" s="7" t="n"/>
      <c r="R4" s="7" t="n"/>
      <c r="S4" s="7" t="n"/>
      <c r="T4" s="7" t="n"/>
      <c r="U4" s="7" t="n"/>
    </row>
    <row r="5">
      <c r="A5" s="7" t="inlineStr">
        <is>
          <t>R7-GRAVITY-ABSURD_UPPER_BOUND</t>
        </is>
      </c>
      <c r="B5" s="7" t="inlineStr">
        <is>
          <t>gravity_arithmetic</t>
        </is>
      </c>
      <c r="C5" s="7" t="inlineStr">
        <is>
          <t>DERIVED_ARITHMETIC</t>
        </is>
      </c>
      <c r="D5" s="7" t="inlineStr">
        <is>
          <t>PUBLIC</t>
        </is>
      </c>
      <c r="E5" s="7" t="inlineStr">
        <is>
          <t>r7.gravity.assess</t>
        </is>
      </c>
      <c r="F5" s="7" t="inlineStr">
        <is>
          <t>ABSURD_UPPER_BOUND</t>
        </is>
      </c>
      <c r="G5" s="7" t="n">
        <v>2000000</v>
      </c>
      <c r="H5" s="7" t="n">
        <v>2.225300112107237e-11</v>
      </c>
      <c r="I5" s="7" t="n">
        <v>1.652543527939607e-37</v>
      </c>
      <c r="J5" s="7" t="n">
        <v>1.485232053823733e-19</v>
      </c>
      <c r="K5" s="7" t="n">
        <v>17.78184709238997</v>
      </c>
      <c r="L5" s="7" t="n">
        <v>7.828205686534115</v>
      </c>
      <c r="M5" s="7" t="inlineStr">
        <is>
          <t>REFUSED_BY_ARITHMETIC</t>
        </is>
      </c>
      <c r="N5" s="7" t="inlineStr">
        <is>
          <t>the predicted effect is 7.8 orders of magnitude below the best instrument that exists. Averaging reduces white noise as sqrt(t), so closing 7.8 decades would need about 10^16 seconds of integration -- unreachable regardless of patience or funding.</t>
        </is>
      </c>
      <c r="O5" s="7" t="n"/>
      <c r="P5" s="7" t="n"/>
      <c r="Q5" s="7" t="n"/>
      <c r="R5" s="7" t="n"/>
      <c r="S5" s="7" t="n"/>
      <c r="T5" s="7" t="n"/>
      <c r="U5" s="7" t="n"/>
    </row>
    <row r="6">
      <c r="A6" s="7" t="inlineStr">
        <is>
          <t>R7-GRAVITY-VERDICT</t>
        </is>
      </c>
      <c r="B6" s="7" t="inlineStr">
        <is>
          <t>gravity_verdict</t>
        </is>
      </c>
      <c r="C6" s="7" t="inlineStr">
        <is>
          <t>DERIVED_ARITHMETIC</t>
        </is>
      </c>
      <c r="D6" s="7" t="inlineStr">
        <is>
          <t>PUBLIC</t>
        </is>
      </c>
      <c r="E6" s="7" t="inlineStr">
        <is>
          <t>r7.gravity.full_assessment</t>
        </is>
      </c>
      <c r="F6" s="7" t="n"/>
      <c r="G6" s="7" t="n"/>
      <c r="H6" s="7" t="n"/>
      <c r="I6" s="7" t="n"/>
      <c r="J6" s="7" t="n"/>
      <c r="K6" s="7" t="n"/>
      <c r="L6" s="7" t="n"/>
      <c r="M6" s="7" t="n"/>
      <c r="N6" s="7" t="n"/>
      <c r="O6" s="7" t="b">
        <v>1</v>
      </c>
      <c r="P6" s="7" t="inlineStr">
        <is>
          <t>HANDHELD_CRYSTAL; BENCH_COIL_DRIVE; HIGH_POWER_PULSE; ABSURD_UPPER_BOUND</t>
        </is>
      </c>
      <c r="Q6" s="7" t="n">
        <v>1.091136967219822e-19</v>
      </c>
      <c r="R6" s="7" t="n">
        <v>6.602772930164522e+17</v>
      </c>
      <c r="S6" s="7" t="inlineStr">
        <is>
          <t>Every configuration, including a deliberately absurd one-megajoule upper bound far beyond anything this programme could build or safely operate, is refused by arithmetic. Raising a clock by one millimetre against Earth's field produces a larger fractional shift than the entire apparatus does by 6.6e+17 times. The apparatus is not competing with a subtle effect; it is competing with the floor of the building.</t>
        </is>
      </c>
      <c r="T6" s="7" t="inlineStr">
        <is>
          <t>No metric-actuation claim can be tested by this apparatus, at any energy it could reach, with any instrument that exists. This is the strongest form of negative result the programme can produce: it does not depend on the crystal, the geometry, the drive pattern or the source corpus being right or wrong.</t>
        </is>
      </c>
      <c r="U6" s="7" t="inlineStr">
        <is>
          <t>It does not say relativity is untestable at bench scale. Optical clocks resolve centimetre height differences routinely. It says the apparatus's OWN stress-energy is irrelevant, so any real experiment here measures Earth's field, not the device's.</t>
        </is>
      </c>
    </row>
  </sheetData>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S18"/>
  <sheetViews>
    <sheetView workbookViewId="0">
      <pane ySplit="1" topLeftCell="A2" activePane="bottomLeft" state="frozen"/>
      <selection pane="bottomLeft" activeCell="A1" sqref="A1"/>
    </sheetView>
  </sheetViews>
  <sheetFormatPr baseColWidth="8" defaultRowHeight="15"/>
  <cols>
    <col width="42" customWidth="1" min="1" max="1"/>
    <col width="19" customWidth="1" min="2" max="2"/>
    <col width="20" customWidth="1" min="3" max="3"/>
    <col width="15" customWidth="1" min="4" max="4"/>
    <col width="32" customWidth="1" min="5" max="5"/>
    <col width="16" customWidth="1" min="6" max="6"/>
    <col width="18" customWidth="1" min="7" max="7"/>
    <col width="17" customWidth="1" min="8" max="8"/>
    <col width="24" customWidth="1" min="9" max="9"/>
    <col width="24" customWidth="1" min="10" max="10"/>
    <col width="26" customWidth="1" min="11" max="11"/>
    <col width="12" customWidth="1" min="12" max="12"/>
    <col width="23" customWidth="1" min="13" max="13"/>
    <col width="38" customWidth="1" min="14" max="14"/>
    <col width="30" customWidth="1" min="15" max="15"/>
    <col width="47" customWidth="1" min="16" max="16"/>
    <col width="60" customWidth="1" min="17" max="17"/>
    <col width="60" customWidth="1" min="18" max="18"/>
    <col width="60" customWidth="1" min="19" max="19"/>
  </cols>
  <sheetData>
    <row r="1">
      <c r="A1" s="27" t="inlineStr">
        <is>
          <t>id</t>
        </is>
      </c>
      <c r="B1" s="27" t="inlineStr">
        <is>
          <t>kind</t>
        </is>
      </c>
      <c r="C1" s="27" t="inlineStr">
        <is>
          <t>evidence_class</t>
        </is>
      </c>
      <c r="D1" s="27" t="inlineStr">
        <is>
          <t>privacy_class</t>
        </is>
      </c>
      <c r="E1" s="27" t="inlineStr">
        <is>
          <t>provenance</t>
        </is>
      </c>
      <c r="F1" s="27" t="inlineStr">
        <is>
          <t>oscillator</t>
        </is>
      </c>
      <c r="G1" s="27" t="inlineStr">
        <is>
          <t>link</t>
        </is>
      </c>
      <c r="H1" s="27" t="inlineStr">
        <is>
          <t>target_height_m</t>
        </is>
      </c>
      <c r="I1" s="27" t="inlineStr">
        <is>
          <t>target_fractional</t>
        </is>
      </c>
      <c r="J1" s="27" t="inlineStr">
        <is>
          <t>combined_floor</t>
        </is>
      </c>
      <c r="K1" s="27" t="inlineStr">
        <is>
          <t>limiter</t>
        </is>
      </c>
      <c r="L1" s="27" t="inlineStr">
        <is>
          <t>resolvable</t>
        </is>
      </c>
      <c r="M1" s="27" t="inlineStr">
        <is>
          <t>tau_required_years</t>
        </is>
      </c>
      <c r="N1" s="27" t="inlineStr">
        <is>
          <t>status</t>
        </is>
      </c>
      <c r="O1" s="27" t="inlineStr">
        <is>
          <t>consumer_quartz_unresolvable</t>
        </is>
      </c>
      <c r="P1" s="27" t="inlineStr">
        <is>
          <t>link_limited_pairings</t>
        </is>
      </c>
      <c r="Q1" s="27" t="inlineStr">
        <is>
          <t>claim_ceiling</t>
        </is>
      </c>
      <c r="R1" s="27" t="inlineStr">
        <is>
          <t>bottleneck_note</t>
        </is>
      </c>
      <c r="S1" s="27" t="inlineStr">
        <is>
          <t>why_run_it_anyway</t>
        </is>
      </c>
    </row>
    <row r="2">
      <c r="A2" s="7" t="inlineStr">
        <is>
          <t>R7-CLOCK-QUARTZ_XO-COAX_SHORT</t>
        </is>
      </c>
      <c r="B2" s="7" t="inlineStr">
        <is>
          <t>height_resolution</t>
        </is>
      </c>
      <c r="C2" s="7" t="inlineStr">
        <is>
          <t>DERIVED_ARITHMETIC</t>
        </is>
      </c>
      <c r="D2" s="7" t="inlineStr">
        <is>
          <t>PUBLIC</t>
        </is>
      </c>
      <c r="E2" s="7" t="inlineStr">
        <is>
          <t>r7.clocklink.height_resolution</t>
        </is>
      </c>
      <c r="F2" s="7" t="inlineStr">
        <is>
          <t>QUARTZ_XO</t>
        </is>
      </c>
      <c r="G2" s="7" t="inlineStr">
        <is>
          <t>COAX_SHORT</t>
        </is>
      </c>
      <c r="H2" s="7" t="n">
        <v>1</v>
      </c>
      <c r="I2" s="7" t="n">
        <v>1.091136967219822e-16</v>
      </c>
      <c r="J2" s="7" t="n">
        <v>1.414213562373449e-09</v>
      </c>
      <c r="K2" s="7" t="inlineStr">
        <is>
          <t>OSCILLATOR_LIMITED</t>
        </is>
      </c>
      <c r="L2" s="7" t="b">
        <v>0</v>
      </c>
      <c r="M2" s="7" t="n"/>
      <c r="N2" s="7" t="inlineStr">
        <is>
          <t>UNRESOLVABLE_AT_ANY_INTEGRATION_TIME</t>
        </is>
      </c>
      <c r="O2" s="7" t="n"/>
      <c r="P2" s="7" t="n"/>
      <c r="Q2" s="7" t="n"/>
      <c r="R2" s="7" t="n"/>
      <c r="S2" s="7" t="n"/>
    </row>
    <row r="3">
      <c r="A3" s="7" t="inlineStr">
        <is>
          <t>R7-CLOCK-QUARTZ_XO-FIBRE_STABILIZED</t>
        </is>
      </c>
      <c r="B3" s="7" t="inlineStr">
        <is>
          <t>height_resolution</t>
        </is>
      </c>
      <c r="C3" s="7" t="inlineStr">
        <is>
          <t>DERIVED_ARITHMETIC</t>
        </is>
      </c>
      <c r="D3" s="7" t="inlineStr">
        <is>
          <t>PUBLIC</t>
        </is>
      </c>
      <c r="E3" s="7" t="inlineStr">
        <is>
          <t>r7.clocklink.height_resolution</t>
        </is>
      </c>
      <c r="F3" s="7" t="inlineStr">
        <is>
          <t>QUARTZ_XO</t>
        </is>
      </c>
      <c r="G3" s="7" t="inlineStr">
        <is>
          <t>FIBRE_STABILIZED</t>
        </is>
      </c>
      <c r="H3" s="7" t="n">
        <v>1</v>
      </c>
      <c r="I3" s="7" t="n">
        <v>1.091136967219822e-16</v>
      </c>
      <c r="J3" s="7" t="n">
        <v>1.414213562373095e-09</v>
      </c>
      <c r="K3" s="7" t="inlineStr">
        <is>
          <t>OSCILLATOR_LIMITED</t>
        </is>
      </c>
      <c r="L3" s="7" t="b">
        <v>0</v>
      </c>
      <c r="M3" s="7" t="n"/>
      <c r="N3" s="7" t="inlineStr">
        <is>
          <t>UNRESOLVABLE_AT_ANY_INTEGRATION_TIME</t>
        </is>
      </c>
      <c r="O3" s="7" t="n"/>
      <c r="P3" s="7" t="n"/>
      <c r="Q3" s="7" t="n"/>
      <c r="R3" s="7" t="n"/>
      <c r="S3" s="7" t="n"/>
    </row>
    <row r="4">
      <c r="A4" s="7" t="inlineStr">
        <is>
          <t>R7-CLOCK-TCXO-COAX_SHORT</t>
        </is>
      </c>
      <c r="B4" s="7" t="inlineStr">
        <is>
          <t>height_resolution</t>
        </is>
      </c>
      <c r="C4" s="7" t="inlineStr">
        <is>
          <t>DERIVED_ARITHMETIC</t>
        </is>
      </c>
      <c r="D4" s="7" t="inlineStr">
        <is>
          <t>PUBLIC</t>
        </is>
      </c>
      <c r="E4" s="7" t="inlineStr">
        <is>
          <t>r7.clocklink.height_resolution</t>
        </is>
      </c>
      <c r="F4" s="7" t="inlineStr">
        <is>
          <t>TCXO</t>
        </is>
      </c>
      <c r="G4" s="7" t="inlineStr">
        <is>
          <t>COAX_SHORT</t>
        </is>
      </c>
      <c r="H4" s="7" t="n">
        <v>1</v>
      </c>
      <c r="I4" s="7" t="n">
        <v>1.091136967219822e-16</v>
      </c>
      <c r="J4" s="7" t="n">
        <v>7.071067812572583e-11</v>
      </c>
      <c r="K4" s="7" t="inlineStr">
        <is>
          <t>OSCILLATOR_LIMITED</t>
        </is>
      </c>
      <c r="L4" s="7" t="b">
        <v>0</v>
      </c>
      <c r="M4" s="7" t="n"/>
      <c r="N4" s="7" t="inlineStr">
        <is>
          <t>UNRESOLVABLE_AT_ANY_INTEGRATION_TIME</t>
        </is>
      </c>
      <c r="O4" s="7" t="n"/>
      <c r="P4" s="7" t="n"/>
      <c r="Q4" s="7" t="n"/>
      <c r="R4" s="7" t="n"/>
      <c r="S4" s="7" t="n"/>
    </row>
    <row r="5">
      <c r="A5" s="7" t="inlineStr">
        <is>
          <t>R7-CLOCK-TCXO-FIBRE_STABILIZED</t>
        </is>
      </c>
      <c r="B5" s="7" t="inlineStr">
        <is>
          <t>height_resolution</t>
        </is>
      </c>
      <c r="C5" s="7" t="inlineStr">
        <is>
          <t>DERIVED_ARITHMETIC</t>
        </is>
      </c>
      <c r="D5" s="7" t="inlineStr">
        <is>
          <t>PUBLIC</t>
        </is>
      </c>
      <c r="E5" s="7" t="inlineStr">
        <is>
          <t>r7.clocklink.height_resolution</t>
        </is>
      </c>
      <c r="F5" s="7" t="inlineStr">
        <is>
          <t>TCXO</t>
        </is>
      </c>
      <c r="G5" s="7" t="inlineStr">
        <is>
          <t>FIBRE_STABILIZED</t>
        </is>
      </c>
      <c r="H5" s="7" t="n">
        <v>1</v>
      </c>
      <c r="I5" s="7" t="n">
        <v>1.091136967219822e-16</v>
      </c>
      <c r="J5" s="7" t="n">
        <v>7.071067811865477e-11</v>
      </c>
      <c r="K5" s="7" t="inlineStr">
        <is>
          <t>OSCILLATOR_LIMITED</t>
        </is>
      </c>
      <c r="L5" s="7" t="b">
        <v>0</v>
      </c>
      <c r="M5" s="7" t="n"/>
      <c r="N5" s="7" t="inlineStr">
        <is>
          <t>UNRESOLVABLE_AT_ANY_INTEGRATION_TIME</t>
        </is>
      </c>
      <c r="O5" s="7" t="n"/>
      <c r="P5" s="7" t="n"/>
      <c r="Q5" s="7" t="n"/>
      <c r="R5" s="7" t="n"/>
      <c r="S5" s="7" t="n"/>
    </row>
    <row r="6">
      <c r="A6" s="7" t="inlineStr">
        <is>
          <t>R7-CLOCK-OCXO-COAX_SHORT</t>
        </is>
      </c>
      <c r="B6" s="7" t="inlineStr">
        <is>
          <t>height_resolution</t>
        </is>
      </c>
      <c r="C6" s="7" t="inlineStr">
        <is>
          <t>DERIVED_ARITHMETIC</t>
        </is>
      </c>
      <c r="D6" s="7" t="inlineStr">
        <is>
          <t>PUBLIC</t>
        </is>
      </c>
      <c r="E6" s="7" t="inlineStr">
        <is>
          <t>r7.clocklink.height_resolution</t>
        </is>
      </c>
      <c r="F6" s="7" t="inlineStr">
        <is>
          <t>OCXO</t>
        </is>
      </c>
      <c r="G6" s="7" t="inlineStr">
        <is>
          <t>COAX_SHORT</t>
        </is>
      </c>
      <c r="H6" s="7" t="n">
        <v>1</v>
      </c>
      <c r="I6" s="7" t="n">
        <v>1.091136967219822e-16</v>
      </c>
      <c r="J6" s="7" t="n">
        <v>1.414248917270224e-13</v>
      </c>
      <c r="K6" s="7" t="inlineStr">
        <is>
          <t>OSCILLATOR_LIMITED</t>
        </is>
      </c>
      <c r="L6" s="7" t="b">
        <v>0</v>
      </c>
      <c r="M6" s="7" t="n"/>
      <c r="N6" s="7" t="inlineStr">
        <is>
          <t>UNRESOLVABLE_AT_ANY_INTEGRATION_TIME</t>
        </is>
      </c>
      <c r="O6" s="7" t="n"/>
      <c r="P6" s="7" t="n"/>
      <c r="Q6" s="7" t="n"/>
      <c r="R6" s="7" t="n"/>
      <c r="S6" s="7" t="n"/>
    </row>
    <row r="7">
      <c r="A7" s="7" t="inlineStr">
        <is>
          <t>R7-CLOCK-OCXO-FIBRE_STABILIZED</t>
        </is>
      </c>
      <c r="B7" s="7" t="inlineStr">
        <is>
          <t>height_resolution</t>
        </is>
      </c>
      <c r="C7" s="7" t="inlineStr">
        <is>
          <t>DERIVED_ARITHMETIC</t>
        </is>
      </c>
      <c r="D7" s="7" t="inlineStr">
        <is>
          <t>PUBLIC</t>
        </is>
      </c>
      <c r="E7" s="7" t="inlineStr">
        <is>
          <t>r7.clocklink.height_resolution</t>
        </is>
      </c>
      <c r="F7" s="7" t="inlineStr">
        <is>
          <t>OCXO</t>
        </is>
      </c>
      <c r="G7" s="7" t="inlineStr">
        <is>
          <t>FIBRE_STABILIZED</t>
        </is>
      </c>
      <c r="H7" s="7" t="n">
        <v>1</v>
      </c>
      <c r="I7" s="7" t="n">
        <v>1.091136967219822e-16</v>
      </c>
      <c r="J7" s="7" t="n">
        <v>1.414213562408451e-13</v>
      </c>
      <c r="K7" s="7" t="inlineStr">
        <is>
          <t>OSCILLATOR_LIMITED</t>
        </is>
      </c>
      <c r="L7" s="7" t="b">
        <v>0</v>
      </c>
      <c r="M7" s="7" t="n"/>
      <c r="N7" s="7" t="inlineStr">
        <is>
          <t>UNRESOLVABLE_AT_ANY_INTEGRATION_TIME</t>
        </is>
      </c>
      <c r="O7" s="7" t="n"/>
      <c r="P7" s="7" t="n"/>
      <c r="Q7" s="7" t="n"/>
      <c r="R7" s="7" t="n"/>
      <c r="S7" s="7" t="n"/>
    </row>
    <row r="8">
      <c r="A8" s="7" t="inlineStr">
        <is>
          <t>R7-CLOCK-RUBIDIUM-COAX_SHORT</t>
        </is>
      </c>
      <c r="B8" s="7" t="inlineStr">
        <is>
          <t>height_resolution</t>
        </is>
      </c>
      <c r="C8" s="7" t="inlineStr">
        <is>
          <t>DERIVED_ARITHMETIC</t>
        </is>
      </c>
      <c r="D8" s="7" t="inlineStr">
        <is>
          <t>PUBLIC</t>
        </is>
      </c>
      <c r="E8" s="7" t="inlineStr">
        <is>
          <t>r7.clocklink.height_resolution</t>
        </is>
      </c>
      <c r="F8" s="7" t="inlineStr">
        <is>
          <t>RUBIDIUM</t>
        </is>
      </c>
      <c r="G8" s="7" t="inlineStr">
        <is>
          <t>COAX_SHORT</t>
        </is>
      </c>
      <c r="H8" s="7" t="n">
        <v>1</v>
      </c>
      <c r="I8" s="7" t="n">
        <v>1.091136967219822e-16</v>
      </c>
      <c r="J8" s="7" t="n">
        <v>1.417744687875783e-14</v>
      </c>
      <c r="K8" s="7" t="inlineStr">
        <is>
          <t>OSCILLATOR_LIMITED</t>
        </is>
      </c>
      <c r="L8" s="7" t="b">
        <v>0</v>
      </c>
      <c r="M8" s="7" t="n"/>
      <c r="N8" s="7" t="inlineStr">
        <is>
          <t>UNRESOLVABLE_AT_ANY_INTEGRATION_TIME</t>
        </is>
      </c>
      <c r="O8" s="7" t="n"/>
      <c r="P8" s="7" t="n"/>
      <c r="Q8" s="7" t="n"/>
      <c r="R8" s="7" t="n"/>
      <c r="S8" s="7" t="n"/>
    </row>
    <row r="9">
      <c r="A9" s="7" t="inlineStr">
        <is>
          <t>R7-CLOCK-RUBIDIUM-FIBRE_STABILIZED</t>
        </is>
      </c>
      <c r="B9" s="7" t="inlineStr">
        <is>
          <t>height_resolution</t>
        </is>
      </c>
      <c r="C9" s="7" t="inlineStr">
        <is>
          <t>DERIVED_ARITHMETIC</t>
        </is>
      </c>
      <c r="D9" s="7" t="inlineStr">
        <is>
          <t>PUBLIC</t>
        </is>
      </c>
      <c r="E9" s="7" t="inlineStr">
        <is>
          <t>r7.clocklink.height_resolution</t>
        </is>
      </c>
      <c r="F9" s="7" t="inlineStr">
        <is>
          <t>RUBIDIUM</t>
        </is>
      </c>
      <c r="G9" s="7" t="inlineStr">
        <is>
          <t>FIBRE_STABILIZED</t>
        </is>
      </c>
      <c r="H9" s="7" t="n">
        <v>1</v>
      </c>
      <c r="I9" s="7" t="n">
        <v>1.091136967219822e-16</v>
      </c>
      <c r="J9" s="7" t="n">
        <v>1.414213565908629e-14</v>
      </c>
      <c r="K9" s="7" t="inlineStr">
        <is>
          <t>OSCILLATOR_LIMITED</t>
        </is>
      </c>
      <c r="L9" s="7" t="b">
        <v>0</v>
      </c>
      <c r="M9" s="7" t="n"/>
      <c r="N9" s="7" t="inlineStr">
        <is>
          <t>UNRESOLVABLE_AT_ANY_INTEGRATION_TIME</t>
        </is>
      </c>
      <c r="O9" s="7" t="n"/>
      <c r="P9" s="7" t="n"/>
      <c r="Q9" s="7" t="n"/>
      <c r="R9" s="7" t="n"/>
      <c r="S9" s="7" t="n"/>
    </row>
    <row r="10">
      <c r="A10" s="7" t="inlineStr">
        <is>
          <t>R7-CLOCK-GPSDO-COAX_SHORT</t>
        </is>
      </c>
      <c r="B10" s="7" t="inlineStr">
        <is>
          <t>height_resolution</t>
        </is>
      </c>
      <c r="C10" s="7" t="inlineStr">
        <is>
          <t>DERIVED_ARITHMETIC</t>
        </is>
      </c>
      <c r="D10" s="7" t="inlineStr">
        <is>
          <t>PUBLIC</t>
        </is>
      </c>
      <c r="E10" s="7" t="inlineStr">
        <is>
          <t>r7.clocklink.height_resolution</t>
        </is>
      </c>
      <c r="F10" s="7" t="inlineStr">
        <is>
          <t>GPSDO</t>
        </is>
      </c>
      <c r="G10" s="7" t="inlineStr">
        <is>
          <t>COAX_SHORT</t>
        </is>
      </c>
      <c r="H10" s="7" t="n">
        <v>1</v>
      </c>
      <c r="I10" s="7" t="n">
        <v>1.091136967219822e-16</v>
      </c>
      <c r="J10" s="7" t="n">
        <v>1.417744687875783e-14</v>
      </c>
      <c r="K10" s="7" t="inlineStr">
        <is>
          <t>OSCILLATOR_LIMITED</t>
        </is>
      </c>
      <c r="L10" s="7" t="b">
        <v>0</v>
      </c>
      <c r="M10" s="7" t="n"/>
      <c r="N10" s="7" t="inlineStr">
        <is>
          <t>UNRESOLVABLE_AT_ANY_INTEGRATION_TIME</t>
        </is>
      </c>
      <c r="O10" s="7" t="n"/>
      <c r="P10" s="7" t="n"/>
      <c r="Q10" s="7" t="n"/>
      <c r="R10" s="7" t="n"/>
      <c r="S10" s="7" t="n"/>
    </row>
    <row r="11">
      <c r="A11" s="7" t="inlineStr">
        <is>
          <t>R7-CLOCK-GPSDO-FIBRE_STABILIZED</t>
        </is>
      </c>
      <c r="B11" s="7" t="inlineStr">
        <is>
          <t>height_resolution</t>
        </is>
      </c>
      <c r="C11" s="7" t="inlineStr">
        <is>
          <t>DERIVED_ARITHMETIC</t>
        </is>
      </c>
      <c r="D11" s="7" t="inlineStr">
        <is>
          <t>PUBLIC</t>
        </is>
      </c>
      <c r="E11" s="7" t="inlineStr">
        <is>
          <t>r7.clocklink.height_resolution</t>
        </is>
      </c>
      <c r="F11" s="7" t="inlineStr">
        <is>
          <t>GPSDO</t>
        </is>
      </c>
      <c r="G11" s="7" t="inlineStr">
        <is>
          <t>FIBRE_STABILIZED</t>
        </is>
      </c>
      <c r="H11" s="7" t="n">
        <v>1</v>
      </c>
      <c r="I11" s="7" t="n">
        <v>1.091136967219822e-16</v>
      </c>
      <c r="J11" s="7" t="n">
        <v>1.414213565908629e-14</v>
      </c>
      <c r="K11" s="7" t="inlineStr">
        <is>
          <t>OSCILLATOR_LIMITED</t>
        </is>
      </c>
      <c r="L11" s="7" t="b">
        <v>0</v>
      </c>
      <c r="M11" s="7" t="n"/>
      <c r="N11" s="7" t="inlineStr">
        <is>
          <t>UNRESOLVABLE_AT_ANY_INTEGRATION_TIME</t>
        </is>
      </c>
      <c r="O11" s="7" t="n"/>
      <c r="P11" s="7" t="n"/>
      <c r="Q11" s="7" t="n"/>
      <c r="R11" s="7" t="n"/>
      <c r="S11" s="7" t="n"/>
    </row>
    <row r="12">
      <c r="A12" s="7" t="inlineStr">
        <is>
          <t>R7-CLOCK-CAESIUM-COAX_SHORT</t>
        </is>
      </c>
      <c r="B12" s="7" t="inlineStr">
        <is>
          <t>height_resolution</t>
        </is>
      </c>
      <c r="C12" s="7" t="inlineStr">
        <is>
          <t>DERIVED_ARITHMETIC</t>
        </is>
      </c>
      <c r="D12" s="7" t="inlineStr">
        <is>
          <t>PUBLIC</t>
        </is>
      </c>
      <c r="E12" s="7" t="inlineStr">
        <is>
          <t>r7.clocklink.height_resolution</t>
        </is>
      </c>
      <c r="F12" s="7" t="inlineStr">
        <is>
          <t>CAESIUM</t>
        </is>
      </c>
      <c r="G12" s="7" t="inlineStr">
        <is>
          <t>COAX_SHORT</t>
        </is>
      </c>
      <c r="H12" s="7" t="n">
        <v>1</v>
      </c>
      <c r="I12" s="7" t="n">
        <v>1.091136967219822e-16</v>
      </c>
      <c r="J12" s="7" t="n">
        <v>1.732050807568877e-15</v>
      </c>
      <c r="K12" s="7" t="inlineStr">
        <is>
          <t>COMPARABLE_CONTRIBUTIONS</t>
        </is>
      </c>
      <c r="L12" s="7" t="b">
        <v>0</v>
      </c>
      <c r="M12" s="7" t="n"/>
      <c r="N12" s="7" t="inlineStr">
        <is>
          <t>UNRESOLVABLE_AT_ANY_INTEGRATION_TIME</t>
        </is>
      </c>
      <c r="O12" s="7" t="n"/>
      <c r="P12" s="7" t="n"/>
      <c r="Q12" s="7" t="n"/>
      <c r="R12" s="7" t="n"/>
      <c r="S12" s="7" t="n"/>
    </row>
    <row r="13">
      <c r="A13" s="7" t="inlineStr">
        <is>
          <t>R7-CLOCK-CAESIUM-FIBRE_STABILIZED</t>
        </is>
      </c>
      <c r="B13" s="7" t="inlineStr">
        <is>
          <t>height_resolution</t>
        </is>
      </c>
      <c r="C13" s="7" t="inlineStr">
        <is>
          <t>DERIVED_ARITHMETIC</t>
        </is>
      </c>
      <c r="D13" s="7" t="inlineStr">
        <is>
          <t>PUBLIC</t>
        </is>
      </c>
      <c r="E13" s="7" t="inlineStr">
        <is>
          <t>r7.clocklink.height_resolution</t>
        </is>
      </c>
      <c r="F13" s="7" t="inlineStr">
        <is>
          <t>CAESIUM</t>
        </is>
      </c>
      <c r="G13" s="7" t="inlineStr">
        <is>
          <t>FIBRE_STABILIZED</t>
        </is>
      </c>
      <c r="H13" s="7" t="n">
        <v>1</v>
      </c>
      <c r="I13" s="7" t="n">
        <v>1.091136967219822e-16</v>
      </c>
      <c r="J13" s="7" t="n">
        <v>1.414213915926442e-15</v>
      </c>
      <c r="K13" s="7" t="inlineStr">
        <is>
          <t>OSCILLATOR_LIMITED</t>
        </is>
      </c>
      <c r="L13" s="7" t="b">
        <v>0</v>
      </c>
      <c r="M13" s="7" t="n"/>
      <c r="N13" s="7" t="inlineStr">
        <is>
          <t>UNRESOLVABLE_AT_ANY_INTEGRATION_TIME</t>
        </is>
      </c>
      <c r="O13" s="7" t="n"/>
      <c r="P13" s="7" t="n"/>
      <c r="Q13" s="7" t="n"/>
      <c r="R13" s="7" t="n"/>
      <c r="S13" s="7" t="n"/>
    </row>
    <row r="14">
      <c r="A14" s="7" t="inlineStr">
        <is>
          <t>R7-CLOCK-HYDROGEN_MASER-COAX_SHORT</t>
        </is>
      </c>
      <c r="B14" s="7" t="inlineStr">
        <is>
          <t>height_resolution</t>
        </is>
      </c>
      <c r="C14" s="7" t="inlineStr">
        <is>
          <t>DERIVED_ARITHMETIC</t>
        </is>
      </c>
      <c r="D14" s="7" t="inlineStr">
        <is>
          <t>PUBLIC</t>
        </is>
      </c>
      <c r="E14" s="7" t="inlineStr">
        <is>
          <t>r7.clocklink.height_resolution</t>
        </is>
      </c>
      <c r="F14" s="7" t="inlineStr">
        <is>
          <t>HYDROGEN_MASER</t>
        </is>
      </c>
      <c r="G14" s="7" t="inlineStr">
        <is>
          <t>COAX_SHORT</t>
        </is>
      </c>
      <c r="H14" s="7" t="n">
        <v>1</v>
      </c>
      <c r="I14" s="7" t="n">
        <v>1.091136967219822e-16</v>
      </c>
      <c r="J14" s="7" t="n">
        <v>1.009950493836208e-15</v>
      </c>
      <c r="K14" s="7" t="inlineStr">
        <is>
          <t>LINK_LIMITED</t>
        </is>
      </c>
      <c r="L14" s="7" t="b">
        <v>0</v>
      </c>
      <c r="M14" s="7" t="n"/>
      <c r="N14" s="7" t="inlineStr">
        <is>
          <t>UNRESOLVABLE_AT_ANY_INTEGRATION_TIME</t>
        </is>
      </c>
      <c r="O14" s="7" t="n"/>
      <c r="P14" s="7" t="n"/>
      <c r="Q14" s="7" t="n"/>
      <c r="R14" s="7" t="n"/>
      <c r="S14" s="7" t="n"/>
    </row>
    <row r="15">
      <c r="A15" s="7" t="inlineStr">
        <is>
          <t>R7-CLOCK-HYDROGEN_MASER-FIBRE_STABILIZED</t>
        </is>
      </c>
      <c r="B15" s="7" t="inlineStr">
        <is>
          <t>height_resolution</t>
        </is>
      </c>
      <c r="C15" s="7" t="inlineStr">
        <is>
          <t>DERIVED_ARITHMETIC</t>
        </is>
      </c>
      <c r="D15" s="7" t="inlineStr">
        <is>
          <t>PUBLIC</t>
        </is>
      </c>
      <c r="E15" s="7" t="inlineStr">
        <is>
          <t>r7.clocklink.height_resolution</t>
        </is>
      </c>
      <c r="F15" s="7" t="inlineStr">
        <is>
          <t>HYDROGEN_MASER</t>
        </is>
      </c>
      <c r="G15" s="7" t="inlineStr">
        <is>
          <t>FIBRE_STABILIZED</t>
        </is>
      </c>
      <c r="H15" s="7" t="n">
        <v>1</v>
      </c>
      <c r="I15" s="7" t="n">
        <v>1.091136967219822e-16</v>
      </c>
      <c r="J15" s="7" t="n">
        <v>1.414248917270224e-16</v>
      </c>
      <c r="K15" s="7" t="inlineStr">
        <is>
          <t>OSCILLATOR_LIMITED</t>
        </is>
      </c>
      <c r="L15" s="7" t="b">
        <v>0</v>
      </c>
      <c r="M15" s="7" t="n"/>
      <c r="N15" s="7" t="inlineStr">
        <is>
          <t>UNRESOLVABLE_AT_ANY_INTEGRATION_TIME</t>
        </is>
      </c>
      <c r="O15" s="7" t="n"/>
      <c r="P15" s="7" t="n"/>
      <c r="Q15" s="7" t="n"/>
      <c r="R15" s="7" t="n"/>
      <c r="S15" s="7" t="n"/>
    </row>
    <row r="16">
      <c r="A16" s="7" t="inlineStr">
        <is>
          <t>R7-CLOCK-OPTICAL-COAX_SHORT</t>
        </is>
      </c>
      <c r="B16" s="7" t="inlineStr">
        <is>
          <t>height_resolution</t>
        </is>
      </c>
      <c r="C16" s="7" t="inlineStr">
        <is>
          <t>DERIVED_ARITHMETIC</t>
        </is>
      </c>
      <c r="D16" s="7" t="inlineStr">
        <is>
          <t>PUBLIC</t>
        </is>
      </c>
      <c r="E16" s="7" t="inlineStr">
        <is>
          <t>r7.clocklink.height_resolution</t>
        </is>
      </c>
      <c r="F16" s="7" t="inlineStr">
        <is>
          <t>OPTICAL</t>
        </is>
      </c>
      <c r="G16" s="7" t="inlineStr">
        <is>
          <t>COAX_SHORT</t>
        </is>
      </c>
      <c r="H16" s="7" t="n">
        <v>1</v>
      </c>
      <c r="I16" s="7" t="n">
        <v>1.091136967219822e-16</v>
      </c>
      <c r="J16" s="7" t="n">
        <v>1.00000001e-15</v>
      </c>
      <c r="K16" s="7" t="inlineStr">
        <is>
          <t>LINK_LIMITED</t>
        </is>
      </c>
      <c r="L16" s="7" t="b">
        <v>0</v>
      </c>
      <c r="M16" s="7" t="n"/>
      <c r="N16" s="7" t="inlineStr">
        <is>
          <t>UNRESOLVABLE_AT_ANY_INTEGRATION_TIME</t>
        </is>
      </c>
      <c r="O16" s="7" t="n"/>
      <c r="P16" s="7" t="n"/>
      <c r="Q16" s="7" t="n"/>
      <c r="R16" s="7" t="n"/>
      <c r="S16" s="7" t="n"/>
    </row>
    <row r="17">
      <c r="A17" s="7" t="inlineStr">
        <is>
          <t>R7-CLOCK-OPTICAL-FIBRE_STABILIZED</t>
        </is>
      </c>
      <c r="B17" s="7" t="inlineStr">
        <is>
          <t>height_resolution</t>
        </is>
      </c>
      <c r="C17" s="7" t="inlineStr">
        <is>
          <t>DERIVED_ARITHMETIC</t>
        </is>
      </c>
      <c r="D17" s="7" t="inlineStr">
        <is>
          <t>PUBLIC</t>
        </is>
      </c>
      <c r="E17" s="7" t="inlineStr">
        <is>
          <t>r7.clocklink.height_resolution</t>
        </is>
      </c>
      <c r="F17" s="7" t="inlineStr">
        <is>
          <t>OPTICAL</t>
        </is>
      </c>
      <c r="G17" s="7" t="inlineStr">
        <is>
          <t>FIBRE_STABILIZED</t>
        </is>
      </c>
      <c r="H17" s="7" t="n">
        <v>1</v>
      </c>
      <c r="I17" s="7" t="n">
        <v>1.091136967219822e-16</v>
      </c>
      <c r="J17" s="7" t="n">
        <v>1.009950493836208e-18</v>
      </c>
      <c r="K17" s="7" t="inlineStr">
        <is>
          <t>LINK_LIMITED</t>
        </is>
      </c>
      <c r="L17" s="7" t="b">
        <v>1</v>
      </c>
      <c r="M17" s="7" t="n">
        <v>5.323135106431327e-08</v>
      </c>
      <c r="N17" s="7" t="inlineStr">
        <is>
          <t>RESOLVABLE</t>
        </is>
      </c>
      <c r="O17" s="7" t="n"/>
      <c r="P17" s="7" t="n"/>
      <c r="Q17" s="7" t="n"/>
      <c r="R17" s="7" t="n"/>
      <c r="S17" s="7" t="n"/>
    </row>
    <row r="18">
      <c r="A18" s="7" t="inlineStr">
        <is>
          <t>R7-CLOCK-CEILING</t>
        </is>
      </c>
      <c r="B18" s="7" t="inlineStr">
        <is>
          <t>claim_ceiling</t>
        </is>
      </c>
      <c r="C18" s="7" t="inlineStr">
        <is>
          <t>DERIVED_ARITHMETIC</t>
        </is>
      </c>
      <c r="D18" s="7" t="inlineStr">
        <is>
          <t>PUBLIC</t>
        </is>
      </c>
      <c r="E18" s="7" t="inlineStr">
        <is>
          <t>r7.clocklink.ceiling_report</t>
        </is>
      </c>
      <c r="F18" s="7" t="n"/>
      <c r="G18" s="7" t="n"/>
      <c r="H18" s="7" t="n"/>
      <c r="I18" s="7" t="n"/>
      <c r="J18" s="7" t="n"/>
      <c r="K18" s="7" t="n"/>
      <c r="L18" s="7" t="n"/>
      <c r="M18" s="7" t="n"/>
      <c r="N18" s="7" t="n"/>
      <c r="O18" s="7" t="inlineStr">
        <is>
          <t>QUARTZ_XO; TCXO; OCXO</t>
        </is>
      </c>
      <c r="P18" s="7" t="inlineStr">
        <is>
          <t>HYDROGEN_MASER+COAX_SHORT; OPTICAL+COAX_SHORT</t>
        </is>
      </c>
      <c r="Q18" s="7" t="inlineStr">
        <is>
          <t>Two consumer quartz oscillators do not demonstrate metre-scale relativistic height sensing. Not because the experiment is hard, but because their flicker floor sits above the target and averaging does not lower a floor.</t>
        </is>
      </c>
      <c r="R18" s="7" t="inlineStr">
        <is>
          <t>The limiting term moves. Consumer quartz is oscillator-limited and no link helps it. The best clocks are link-limited: an optical pair on short coax cannot resolve a metre, while the same pair on stabilized fibre resolves it in seconds. Buying a better clock without also buying a better link buys nothing.</t>
        </is>
      </c>
      <c r="S18" s="7" t="inlineStr">
        <is>
          <t>The common-source split costs almost nothing and is the only way to learn what the measurement chain itself contributes. Every later claim depends on that number, and no amount of modelling substitutes for it.</t>
        </is>
      </c>
    </row>
  </sheetData>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U6"/>
  <sheetViews>
    <sheetView workbookViewId="0">
      <pane ySplit="1" topLeftCell="A2" activePane="bottomLeft" state="frozen"/>
      <selection pane="bottomLeft" activeCell="A1" sqref="A1"/>
    </sheetView>
  </sheetViews>
  <sheetFormatPr baseColWidth="8" defaultRowHeight="15"/>
  <cols>
    <col width="31" customWidth="1" min="1" max="1"/>
    <col width="22" customWidth="1" min="2" max="2"/>
    <col width="20" customWidth="1" min="3" max="3"/>
    <col width="15" customWidth="1" min="4" max="4"/>
    <col width="34" customWidth="1" min="5" max="5"/>
    <col width="23" customWidth="1" min="6" max="6"/>
    <col width="14" customWidth="1" min="7" max="7"/>
    <col width="12" customWidth="1" min="8" max="8"/>
    <col width="60" customWidth="1" min="9" max="9"/>
    <col width="10" customWidth="1" min="10" max="10"/>
    <col width="12" customWidth="1" min="11" max="11"/>
    <col width="23" customWidth="1" min="12" max="12"/>
    <col width="30" customWidth="1" min="13" max="13"/>
    <col width="60" customWidth="1" min="14" max="14"/>
    <col width="60" customWidth="1" min="15" max="15"/>
    <col width="60" customWidth="1" min="16" max="16"/>
    <col width="60" customWidth="1" min="17" max="17"/>
    <col width="25" customWidth="1" min="18" max="18"/>
    <col width="26" customWidth="1" min="19" max="19"/>
    <col width="60" customWidth="1" min="20" max="20"/>
    <col width="54" customWidth="1" min="21" max="21"/>
  </cols>
  <sheetData>
    <row r="1">
      <c r="A1" s="27" t="inlineStr">
        <is>
          <t>id</t>
        </is>
      </c>
      <c r="B1" s="27" t="inlineStr">
        <is>
          <t>kind</t>
        </is>
      </c>
      <c r="C1" s="27" t="inlineStr">
        <is>
          <t>evidence_class</t>
        </is>
      </c>
      <c r="D1" s="27" t="inlineStr">
        <is>
          <t>privacy_class</t>
        </is>
      </c>
      <c r="E1" s="27" t="inlineStr">
        <is>
          <t>provenance</t>
        </is>
      </c>
      <c r="F1" s="27" t="inlineStr">
        <is>
          <t>path</t>
        </is>
      </c>
      <c r="G1" s="27" t="inlineStr">
        <is>
          <t>signed_by</t>
        </is>
      </c>
      <c r="H1" s="27" t="inlineStr">
        <is>
          <t>signed_at</t>
        </is>
      </c>
      <c r="I1" s="27" t="inlineStr">
        <is>
          <t>digest</t>
        </is>
      </c>
      <c r="J1" s="27" t="inlineStr">
        <is>
          <t>complete</t>
        </is>
      </c>
      <c r="K1" s="27" t="inlineStr">
        <is>
          <t>reversible</t>
        </is>
      </c>
      <c r="L1" s="27" t="inlineStr">
        <is>
          <t>authorized_to_publish</t>
        </is>
      </c>
      <c r="M1" s="27" t="inlineStr">
        <is>
          <t>status</t>
        </is>
      </c>
      <c r="N1" s="27" t="inlineStr">
        <is>
          <t>note</t>
        </is>
      </c>
      <c r="O1" s="27" t="inlineStr">
        <is>
          <t>provides</t>
        </is>
      </c>
      <c r="P1" s="27" t="inlineStr">
        <is>
          <t>does_not_provide</t>
        </is>
      </c>
      <c r="Q1" s="27" t="inlineStr">
        <is>
          <t>why_it_matters</t>
        </is>
      </c>
      <c r="R1" s="27" t="inlineStr">
        <is>
          <t>preserves_patent_rights</t>
        </is>
      </c>
      <c r="S1" s="27" t="inlineStr">
        <is>
          <t>creates_public_prior_art</t>
        </is>
      </c>
      <c r="T1" s="27" t="inlineStr">
        <is>
          <t>forecloses</t>
        </is>
      </c>
      <c r="U1" s="27" t="inlineStr">
        <is>
          <t>cost</t>
        </is>
      </c>
    </row>
    <row r="2">
      <c r="A2" s="7" t="inlineStr">
        <is>
          <t>R7-PUBLICATION-DECISION</t>
        </is>
      </c>
      <c r="B2" s="7" t="inlineStr">
        <is>
          <t>publication_decision</t>
        </is>
      </c>
      <c r="C2" s="7" t="inlineStr">
        <is>
          <t>DERIVED_ARITHMETIC</t>
        </is>
      </c>
      <c r="D2" s="7" t="inlineStr">
        <is>
          <t>PUBLIC</t>
        </is>
      </c>
      <c r="E2" s="7" t="inlineStr">
        <is>
          <t>r7.legacy.authorize_publication</t>
        </is>
      </c>
      <c r="F2" s="7" t="inlineStr">
        <is>
          <t>PRIVATE_RC</t>
        </is>
      </c>
      <c r="G2" s="7" t="inlineStr">
        <is>
          <t>Andrew Green</t>
        </is>
      </c>
      <c r="H2" s="7" t="inlineStr">
        <is>
          <t>2026-07-18</t>
        </is>
      </c>
      <c r="I2" s="7" t="inlineStr">
        <is>
          <t>f2f42c1ffde7d8922fb540fe8822f65a4268a0c9c2af216114049bc289667514</t>
        </is>
      </c>
      <c r="J2" s="7" t="b">
        <v>1</v>
      </c>
      <c r="K2" s="7" t="b">
        <v>1</v>
      </c>
      <c r="L2" s="7" t="b">
        <v>0</v>
      </c>
      <c r="M2" s="7" t="inlineStr">
        <is>
          <t>PRIVATE_RC_NOTHING_PUBLISHED</t>
        </is>
      </c>
      <c r="N2" s="7" t="inlineStr">
        <is>
          <t>PRIVATE_RC is a decision to publish nothing new. It is the only reversible option: FILE_THEN_PUBLISH and DEFENSIVE_PUBLICATION can both be chosen later, and neither can be undone once chosen.</t>
        </is>
      </c>
      <c r="O2" s="7" t="n"/>
      <c r="P2" s="7" t="n"/>
      <c r="Q2" s="7" t="n"/>
      <c r="R2" s="7" t="n"/>
      <c r="S2" s="7" t="n"/>
      <c r="T2" s="7" t="n"/>
      <c r="U2" s="7" t="n"/>
    </row>
    <row r="3">
      <c r="A3" s="13" t="inlineStr">
        <is>
          <t>R7-COMMIT-IS-NOT-A-FILING</t>
        </is>
      </c>
      <c r="B3" s="13" t="inlineStr">
        <is>
          <t>legal_boundary</t>
        </is>
      </c>
      <c r="C3" s="13" t="inlineStr">
        <is>
          <t>UNSUPPORTED</t>
        </is>
      </c>
      <c r="D3" s="13" t="inlineStr">
        <is>
          <t>PUBLIC</t>
        </is>
      </c>
      <c r="E3" s="13" t="inlineStr">
        <is>
          <t>r7.legacy.commit_is_not_a_filing</t>
        </is>
      </c>
      <c r="F3" s="13" t="n"/>
      <c r="G3" s="13" t="n"/>
      <c r="H3" s="13" t="n"/>
      <c r="I3" s="13" t="n"/>
      <c r="J3" s="13" t="n"/>
      <c r="K3" s="13" t="n"/>
      <c r="L3" s="13" t="n"/>
      <c r="M3" s="13" t="inlineStr">
        <is>
          <t>NOT_LEGAL_ADVICE</t>
        </is>
      </c>
      <c r="N3" s="13" t="n"/>
      <c r="O3" s="13" t="inlineStr">
        <is>
          <t>evidence of a date, if the repository history is preserved and trusted; a content hash that shows the text has not changed since</t>
        </is>
      </c>
      <c r="P3" s="13" t="inlineStr">
        <is>
          <t>a patent filing or any priority date; a defensive publication in the legal sense; publication at all, while the repository is private; an enabling disclosure organized for a searcher to find; legal advice of any kind</t>
        </is>
      </c>
      <c r="Q3" s="13" t="inlineStr">
        <is>
          <t>A private repository discloses nothing, so it neither establishes prior art nor endangers novelty. Making it public is the act that does both at once -- it creates prior art against others and destroys novelty for the author. Those happen in the same instant and cannot be separated after the fact.</t>
        </is>
      </c>
      <c r="R3" s="13" t="n"/>
      <c r="S3" s="13" t="n"/>
      <c r="T3" s="13" t="n"/>
      <c r="U3" s="13" t="n"/>
    </row>
    <row r="4">
      <c r="A4" s="7" t="inlineStr">
        <is>
          <t>R7-PATH-FILE_THEN_PUBLISH</t>
        </is>
      </c>
      <c r="B4" s="7" t="inlineStr">
        <is>
          <t>publication_path</t>
        </is>
      </c>
      <c r="C4" s="7" t="inlineStr">
        <is>
          <t>DERIVED_ARITHMETIC</t>
        </is>
      </c>
      <c r="D4" s="7" t="inlineStr">
        <is>
          <t>PUBLIC</t>
        </is>
      </c>
      <c r="E4" s="7" t="inlineStr">
        <is>
          <t>r7.legacy.path_comparison</t>
        </is>
      </c>
      <c r="F4" s="7" t="inlineStr">
        <is>
          <t>FILE_THEN_PUBLISH</t>
        </is>
      </c>
      <c r="G4" s="7" t="n"/>
      <c r="H4" s="7" t="n"/>
      <c r="I4" s="7" t="n"/>
      <c r="J4" s="7" t="n"/>
      <c r="K4" s="7" t="b">
        <v>0</v>
      </c>
      <c r="L4" s="7" t="n"/>
      <c r="M4" s="7" t="n"/>
      <c r="N4" s="7" t="n"/>
      <c r="O4" s="7" t="n"/>
      <c r="P4" s="7" t="n"/>
      <c r="Q4" s="7" t="n"/>
      <c r="R4" s="7" t="inlineStr">
        <is>
          <t>True</t>
        </is>
      </c>
      <c r="S4" s="7" t="inlineStr">
        <is>
          <t>after filing</t>
        </is>
      </c>
      <c r="T4" s="7" t="inlineStr">
        <is>
          <t>nothing, if filing precedes any disclosure</t>
        </is>
      </c>
      <c r="U4" s="7" t="inlineStr">
        <is>
          <t>patent agent fees plus filing fees, per jurisdiction</t>
        </is>
      </c>
    </row>
    <row r="5">
      <c r="A5" s="7" t="inlineStr">
        <is>
          <t>R7-PATH-DEFENSIVE_PUBLICATION</t>
        </is>
      </c>
      <c r="B5" s="7" t="inlineStr">
        <is>
          <t>publication_path</t>
        </is>
      </c>
      <c r="C5" s="7" t="inlineStr">
        <is>
          <t>DERIVED_ARITHMETIC</t>
        </is>
      </c>
      <c r="D5" s="7" t="inlineStr">
        <is>
          <t>PUBLIC</t>
        </is>
      </c>
      <c r="E5" s="7" t="inlineStr">
        <is>
          <t>r7.legacy.path_comparison</t>
        </is>
      </c>
      <c r="F5" s="7" t="inlineStr">
        <is>
          <t>DEFENSIVE_PUBLICATION</t>
        </is>
      </c>
      <c r="G5" s="7" t="n"/>
      <c r="H5" s="7" t="n"/>
      <c r="I5" s="7" t="n"/>
      <c r="J5" s="7" t="n"/>
      <c r="K5" s="7" t="b">
        <v>0</v>
      </c>
      <c r="L5" s="7" t="n"/>
      <c r="M5" s="7" t="n"/>
      <c r="N5" s="7" t="n"/>
      <c r="O5" s="7" t="n"/>
      <c r="P5" s="7" t="n"/>
      <c r="Q5" s="7" t="n"/>
      <c r="R5" s="7" t="inlineStr">
        <is>
          <t>False</t>
        </is>
      </c>
      <c r="S5" s="7" t="inlineStr">
        <is>
          <t>immediately</t>
        </is>
      </c>
      <c r="T5" s="7" t="inlineStr">
        <is>
          <t>the author's own ability to patent the disclosed subject matter in most jurisdictions</t>
        </is>
      </c>
      <c r="U5" s="7" t="inlineStr">
        <is>
          <t>archival and preparation effort</t>
        </is>
      </c>
    </row>
    <row r="6">
      <c r="A6" s="7" t="inlineStr">
        <is>
          <t>R7-PATH-PRIVATE_RC</t>
        </is>
      </c>
      <c r="B6" s="7" t="inlineStr">
        <is>
          <t>publication_path</t>
        </is>
      </c>
      <c r="C6" s="7" t="inlineStr">
        <is>
          <t>DERIVED_ARITHMETIC</t>
        </is>
      </c>
      <c r="D6" s="7" t="inlineStr">
        <is>
          <t>PUBLIC</t>
        </is>
      </c>
      <c r="E6" s="7" t="inlineStr">
        <is>
          <t>r7.legacy.path_comparison</t>
        </is>
      </c>
      <c r="F6" s="7" t="inlineStr">
        <is>
          <t>PRIVATE_RC</t>
        </is>
      </c>
      <c r="G6" s="7" t="n"/>
      <c r="H6" s="7" t="n"/>
      <c r="I6" s="7" t="n"/>
      <c r="J6" s="7" t="n"/>
      <c r="K6" s="7" t="b">
        <v>1</v>
      </c>
      <c r="L6" s="7" t="n"/>
      <c r="M6" s="7" t="n"/>
      <c r="N6" s="7" t="n"/>
      <c r="O6" s="7" t="n"/>
      <c r="P6" s="7" t="n"/>
      <c r="Q6" s="7" t="n"/>
      <c r="R6" s="7" t="inlineStr">
        <is>
          <t>True</t>
        </is>
      </c>
      <c r="S6" s="7" t="inlineStr">
        <is>
          <t>False</t>
        </is>
      </c>
      <c r="T6" s="7" t="inlineStr">
        <is>
          <t>nothing</t>
        </is>
      </c>
      <c r="U6" s="7" t="inlineStr">
        <is>
          <t>none</t>
        </is>
      </c>
    </row>
  </sheetData>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00" customWidth="1" min="1" max="1"/>
  </cols>
  <sheetData>
    <row r="1">
      <c r="A1" s="29" t="inlineStr">
        <is>
          <t>Workbook Guide</t>
        </is>
      </c>
    </row>
    <row r="2">
      <c r="A2" t="inlineStr"/>
    </row>
    <row r="3">
      <c r="A3" t="inlineStr">
        <is>
          <t>This workbook is generated ONE-WAY from the RGCS canonical data store. It is a formula-visible summary and an interoperability export — it is NOT the database.</t>
        </is>
      </c>
    </row>
    <row r="4">
      <c r="A4" t="inlineStr"/>
    </row>
    <row r="5">
      <c r="A5" t="inlineStr">
        <is>
          <t>Sheets:</t>
        </is>
      </c>
    </row>
    <row r="6">
      <c r="A6" t="inlineStr">
        <is>
          <t xml:space="preserve">  Dashboard        registry counts (SUM formula) + evidence legend + claim boundary</t>
        </is>
      </c>
    </row>
    <row r="7">
      <c r="A7" t="inlineStr">
        <is>
          <t xml:space="preserve">  Frequency Keys   the seed key registry with status/tags</t>
        </is>
      </c>
    </row>
    <row r="8">
      <c r="A8" t="inlineStr">
        <is>
          <t xml:space="preserve">  Harmonic Relations  every relation with its mechanism class (a 4096x5 harmonic is not an 8x2560 closure)</t>
        </is>
      </c>
    </row>
    <row r="9">
      <c r="A9" t="inlineStr">
        <is>
          <t xml:space="preserve">  Specimens        the PREARRIVAL eBay listing (seller geometry, UNMEASURED)</t>
        </is>
      </c>
    </row>
    <row r="10">
      <c r="A10" t="inlineStr">
        <is>
          <t xml:space="preserve">  Mode Estimates   1-D screening with the target error as a LIVE FORMULA</t>
        </is>
      </c>
    </row>
    <row r="11">
      <c r="A11" t="inlineStr">
        <is>
          <t xml:space="preserve">  Timing Recipes   drive families incl. controls</t>
        </is>
      </c>
    </row>
    <row r="12">
      <c r="A12" t="inlineStr">
        <is>
          <t xml:space="preserve">  Hypotheses       6 preregistered, all UNTESTED</t>
        </is>
      </c>
    </row>
    <row r="13">
      <c r="A13" t="inlineStr">
        <is>
          <t xml:space="preserve">  Evidence Ledger  every row's evidence + privacy class</t>
        </is>
      </c>
    </row>
    <row r="14">
      <c r="A14" t="inlineStr">
        <is>
          <t xml:space="preserve">  Eye Results      canonical v4.1 + v4.2.1 records (computational, idealized)</t>
        </is>
      </c>
    </row>
    <row r="15">
      <c r="A15" t="inlineStr">
        <is>
          <t xml:space="preserve">  Resonator Platform  the synthetic design-to-certificate campaign</t>
        </is>
      </c>
    </row>
    <row r="16">
      <c r="A16" t="inlineStr">
        <is>
          <t xml:space="preserve">  Hardware BOM     Gen-0 parts (NOT purchased) + CYD board profiles (candidate)</t>
        </is>
      </c>
    </row>
    <row r="17">
      <c r="A17" t="inlineStr">
        <is>
          <t xml:space="preserve">  Experiment Queue  8 campaigns, all hardware-required</t>
        </is>
      </c>
    </row>
    <row r="18">
      <c r="A18" t="inlineStr">
        <is>
          <t xml:space="preserve">  Corrections      preserved correction records</t>
        </is>
      </c>
    </row>
    <row r="19">
      <c r="A19" t="inlineStr">
        <is>
          <t xml:space="preserve">  Source Registry  5 papers with forbidden-transfer rules</t>
        </is>
      </c>
    </row>
    <row r="20">
      <c r="A20" t="inlineStr">
        <is>
          <t xml:space="preserve">  Lore Registry    the lore POLICY only (private content is local-only)</t>
        </is>
      </c>
    </row>
    <row r="21">
      <c r="A21" t="inlineStr">
        <is>
          <t xml:space="preserve">  Installer Metadata  release facts (unsigned, no telemetry)</t>
        </is>
      </c>
    </row>
    <row r="22">
      <c r="A22" t="inlineStr"/>
    </row>
    <row r="23">
      <c r="A23" t="inlineStr">
        <is>
          <t>Evidence classes never hide. Nothing physical is validated. The specimen is unmeasured. The Eye is a computation.</t>
        </is>
      </c>
    </row>
    <row r="24">
      <c r="A24" t="inlineStr"/>
    </row>
    <row r="25">
      <c r="A25" t="inlineStr">
        <is>
          <t>Regenerate: python -m rgcs_workbench.workbook &lt;out.xlsx&gt;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2026-07-25T06:34:25Z</dcterms:created>
  <dcterms:modified xsi:type="dcterms:W3CDTF">2026-07-25T06:34:25Z</dcterms:modified>
</cp:coreProperties>
</file>